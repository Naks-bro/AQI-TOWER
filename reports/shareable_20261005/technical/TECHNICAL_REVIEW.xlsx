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Current combined parts" sheetId="6" state="visible" r:id="rId6"/>
    <sheet xmlns:r="http://schemas.openxmlformats.org/officeDocument/2006/relationships" name="Current release gates" sheetId="7" state="visible" r:id="rId7"/>
    <sheet xmlns:r="http://schemas.openxmlformats.org/officeDocument/2006/relationships" name="Control module placement" sheetId="8" state="visible" r:id="rId8"/>
    <sheet xmlns:r="http://schemas.openxmlformats.org/officeDocument/2006/relationships" name="Release decisions" sheetId="9" state="visible" r:id="rId9"/>
    <sheet xmlns:r="http://schemas.openxmlformats.org/officeDocument/2006/relationships" name="Parts register" sheetId="10" state="visible" r:id="rId10"/>
    <sheet xmlns:r="http://schemas.openxmlformats.org/officeDocument/2006/relationships" name="Pressure screening" sheetId="11" state="visible" r:id="rId11"/>
    <sheet xmlns:r="http://schemas.openxmlformats.org/officeDocument/2006/relationships" name="Pressure assumptions" sheetId="12" state="visible" r:id="rId12"/>
    <sheet xmlns:r="http://schemas.openxmlformats.org/officeDocument/2006/relationships" name="Fasteners" sheetId="13" state="visible" r:id="rId13"/>
    <sheet xmlns:r="http://schemas.openxmlformats.org/officeDocument/2006/relationships" name="Display dimensions" sheetId="14" state="visible" r:id="rId14"/>
  </sheets>
  <definedNames>
    <definedName name="_xlnm._FilterDatabase" localSheetId="0" hidden="1">'Read me'!$A$1:$B$7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quotes'!$A$1:$M$29</definedName>
    <definedName name="_xlnm.Print_Titles" localSheetId="4">'Funding quotes'!$1:$1</definedName>
    <definedName name="_xlnm._FilterDatabase" localSheetId="5" hidden="1">'Current combined parts'!$A$1:$G$29</definedName>
    <definedName name="_xlnm.Print_Titles" localSheetId="5">'Current combined parts'!$1:$1</definedName>
    <definedName name="_xlnm._FilterDatabase" localSheetId="6" hidden="1">'Current release gates'!$A$1:$J$16</definedName>
    <definedName name="_xlnm.Print_Titles" localSheetId="6">'Current release gates'!$1:$1</definedName>
    <definedName name="_xlnm._FilterDatabase" localSheetId="7" hidden="1">'Control module placement'!$A$1:$H$19</definedName>
    <definedName name="_xlnm.Print_Titles" localSheetId="7">'Control module placement'!$1:$1</definedName>
    <definedName name="_xlnm._FilterDatabase" localSheetId="8" hidden="1">'Release decisions'!$A$1:$J$13</definedName>
    <definedName name="_xlnm.Print_Titles" localSheetId="8">'Release decisions'!$1:$1</definedName>
    <definedName name="_xlnm._FilterDatabase" localSheetId="9" hidden="1">'Parts register'!$A$1:$F$16</definedName>
    <definedName name="_xlnm.Print_Titles" localSheetId="9">'Parts register'!$1:$1</definedName>
    <definedName name="_xlnm._FilterDatabase" localSheetId="10" hidden="1">'Pressure screening'!$A$1:$K$16</definedName>
    <definedName name="_xlnm.Print_Titles" localSheetId="10">'Pressure screening'!$1:$1</definedName>
    <definedName name="_xlnm._FilterDatabase" localSheetId="11" hidden="1">'Pressure assumptions'!$A$1:$B$4</definedName>
    <definedName name="_xlnm.Print_Titles" localSheetId="11">'Pressure assumptions'!$1:$1</definedName>
    <definedName name="_xlnm._FilterDatabase" localSheetId="12" hidden="1">'Fasteners'!$A$1:$D$9</definedName>
    <definedName name="_xlnm.Print_Titles" localSheetId="12">'Fasteners'!$1:$1</definedName>
    <definedName name="_xlnm._FilterDatabase" localSheetId="13" hidden="1">'Display dimensions'!$A$1:$F$494</definedName>
    <definedName name="_xlnm.Print_Titles" localSheetId="13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8" customHeight="1">
      <c r="A2" s="2" t="inlineStr">
        <is>
          <t>Revision</t>
        </is>
      </c>
      <c r="B2" s="2" t="inlineStr">
        <is>
          <t>D01 R03M / E05 / current parallel batch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68" customHeight="1">
      <c r="A4" s="2" t="inlineStr">
        <is>
          <t>Current parts</t>
        </is>
      </c>
      <c r="B4" s="2" t="inlineStr">
        <is>
          <t>Funding quotes and Current combined parts use28 current references; other parts/release tabs are historical snapshots. Verify quote unit/kit basis before entering quantity.</t>
        </is>
      </c>
    </row>
    <row r="5" ht="38" customHeight="1">
      <c r="A5" s="3" t="inlineStr">
        <is>
          <t>Prices</t>
        </is>
      </c>
      <c r="B5" s="3" t="inlineStr">
        <is>
          <t>Blank means UNKNOWN; no prices have been invented.</t>
        </is>
      </c>
    </row>
    <row r="6" ht="36" customHeight="1">
      <c r="A6" s="2" t="inlineStr">
        <is>
          <t>Evidence</t>
        </is>
      </c>
      <c r="B6" s="2" t="inlineStr">
        <is>
          <t>CAD/digital checks are not physical results.</t>
        </is>
      </c>
    </row>
    <row r="7" ht="38" customHeight="1">
      <c r="A7" s="3" t="inlineStr">
        <is>
          <t>Team</t>
        </is>
      </c>
      <c r="B7" s="3" t="inlineStr">
        <is>
          <t>College/NGO funding; no college lab assumed; qualified physical services still needed.</t>
        </is>
      </c>
    </row>
  </sheetData>
  <autoFilter ref="A1:B7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.95" customWidth="1" min="2" max="2"/>
    <col width="17.5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55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53" customHeight="1">
      <c r="A2" s="2" t="inlineStr">
        <is>
          <t>F1-F4</t>
        </is>
      </c>
      <c r="B2" s="2" t="inlineStr">
        <is>
          <t>ARCTIC P14 Max black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Delivered revision,cable/connector dimensions,installed duty,guards and protection; quantities are proposals, verify kit/unit basis before quotation</t>
        </is>
      </c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53" customHeight="1">
      <c r="A3" s="3" t="inlineStr">
        <is>
          <t>FL1-FL2</t>
        </is>
      </c>
      <c r="B3" s="3" t="inlineStr">
        <is>
          <t>IKEA STARKVIND104.633.30 particle filters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Actual tolerances,frame,seals,clean/loaded resistance; OEM specifies STARKVIND use; quantities are proposals, verify kit/unit basis before quotation</t>
        </is>
      </c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53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Actual startup/auxiliary demand,fault coordination,site suitability; quantities are proposals, verify kit/unit basis before quotation</t>
        </is>
      </c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53" customHeight="1">
      <c r="A5" s="3" t="inlineStr">
        <is>
          <t>H1</t>
        </is>
      </c>
      <c r="B5" s="3" t="inlineStr">
        <is>
          <t>Noctua NA-FH1 with supplied NA-EC1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>
        <is>
          <t>Actual connector fit,retained carrier,cable capacity,abnormal restart behaviour; quantities are proposals, verify kit/unit basis before quotation</t>
        </is>
      </c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53" customHeight="1">
      <c r="A6" s="2" t="inlineStr">
        <is>
          <t>SC1</t>
        </is>
      </c>
      <c r="B6" s="2" t="inlineStr">
        <is>
          <t>Noctua NA-FC1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Actual mounting,connectors,heat; no live knob interface designed; quantities are proposals, verify kit/unit basis before quotation</t>
        </is>
      </c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68" customHeight="1">
      <c r="A7" s="3" t="inlineStr">
        <is>
          <t>EXT</t>
        </is>
      </c>
      <c r="B7" s="3" t="inlineStr">
        <is>
          <t>Noctua NA-EC1 from NA-SEC1 kit</t>
        </is>
      </c>
      <c r="C7" s="3" t="inlineStr">
        <is>
          <t>2 candidate extension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>
        <is>
          <t>Exact lead count and connector/gland fit pending;do not duplicate supplied hub lead; quantities are proposals, verify kit/unit basis before quotation</t>
        </is>
      </c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53" customHeight="1">
      <c r="A8" s="2" t="inlineStr">
        <is>
          <t>CTRL1</t>
        </is>
      </c>
      <c r="B8" s="2" t="inlineStr">
        <is>
          <t>Arduino Opta Lite AFX00003</t>
        </is>
      </c>
      <c r="C8" s="2" t="n">
        <v>1</v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Protective functions not implemented or validated; no upload/physical test; quantities are proposals, verify kit/unit basis before quotation</t>
        </is>
      </c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53" customHeight="1">
      <c r="A9" s="3" t="inlineStr">
        <is>
          <t>CB1</t>
        </is>
      </c>
      <c r="B9" s="3" t="inlineStr">
        <is>
          <t>Hammond1554XA2GY</t>
        </is>
      </c>
      <c r="C9" s="3" t="n">
        <v>1</v>
      </c>
      <c r="D9" s="3" t="inlineStr"/>
      <c r="E9" s="3" t="inlineStr"/>
      <c r="F9" s="3" t="inlineStr"/>
      <c r="G9" s="3" t="inlineStr"/>
      <c r="H9" s="3" t="inlineStr"/>
      <c r="I9" s="3" t="inlineStr"/>
      <c r="J9" s="3" t="inlineStr">
        <is>
          <t>Whole mounting,entries,thermal,modified ingress,protection and actual fit; quantities are proposals, verify kit/unit basis before quotation</t>
        </is>
      </c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53" customHeight="1">
      <c r="A10" s="2" t="inlineStr">
        <is>
          <t>PL1</t>
        </is>
      </c>
      <c r="B10" s="2" t="inlineStr">
        <is>
          <t>Hammond1554XPL</t>
        </is>
      </c>
      <c r="C10" s="2" t="n">
        <v>1</v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Delivered thickness,edge contour,holes,fasteners,functional earth/metal treatment; quantities are proposals, verify kit/unit basis before quotation</t>
        </is>
      </c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68" customHeight="1">
      <c r="A11" s="3" t="inlineStr">
        <is>
          <t>DIN1</t>
        </is>
      </c>
      <c r="B11" s="3" t="inlineStr">
        <is>
          <t>35x7.5mm rail;Phoenix0801733 reference</t>
        </is>
      </c>
      <c r="C11" s="3" t="inlineStr">
        <is>
          <t>1 proposed125mm cut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>
        <is>
          <t>Obtain suitable cut piece;reference catalogue pack is not procurement quantity;attachment unapproved; quantities are proposals, verify kit/unit basis before quotation</t>
        </is>
      </c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53" customHeight="1">
      <c r="A12" s="2" t="inlineStr">
        <is>
          <t>PB_START</t>
        </is>
      </c>
      <c r="B12" s="2" t="inlineStr">
        <is>
          <t>Schneider ZB5AA3 green spring-return head</t>
        </is>
      </c>
      <c r="C12" s="2" t="n">
        <v>1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Actual full stack,labels,torque,retention,sealing; quantities are proposals, verify kit/unit basis before quotation</t>
        </is>
      </c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53" customHeight="1">
      <c r="A13" s="3" t="inlineStr">
        <is>
          <t>PB_STOP</t>
        </is>
      </c>
      <c r="B13" s="3" t="inlineStr">
        <is>
          <t>Schneider ZB5AA4 red spring-return head</t>
        </is>
      </c>
      <c r="C13" s="3" t="n">
        <v>1</v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>
        <is>
          <t>Not emergency stop,isolation or protective restart; quantities are proposals, verify kit/unit basis before quotation</t>
        </is>
      </c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53" customHeight="1">
      <c r="A14" s="2" t="inlineStr">
        <is>
          <t>PB_RESET</t>
        </is>
      </c>
      <c r="B14" s="2" t="inlineStr">
        <is>
          <t>Schneider ZB5AA6 blue spring-return head</t>
        </is>
      </c>
      <c r="C14" s="2" t="n">
        <v>1</v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Reset is not start or protective restart approval; quantities are proposals, verify kit/unit basis before quotation</t>
        </is>
      </c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53" customHeight="1">
      <c r="A15" s="3" t="inlineStr">
        <is>
          <t>PB_COLLAR</t>
        </is>
      </c>
      <c r="B15" s="3" t="inlineStr">
        <is>
          <t>Schneider ZB5AZ009 fixing collar</t>
        </is>
      </c>
      <c r="C15" s="3" t="n">
        <v>3</v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>
        <is>
          <t>Delivered mounting stack and required accessories; quantities are proposals, verify kit/unit basis before quotation</t>
        </is>
      </c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53" customHeight="1">
      <c r="A16" s="2" t="inlineStr">
        <is>
          <t>PB_NO</t>
        </is>
      </c>
      <c r="B16" s="2" t="inlineStr">
        <is>
          <t>Schneider ZBE1016 gold-flashed NO contact</t>
        </is>
      </c>
      <c r="C16" s="2" t="n">
        <v>2</v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Numeric minimum switching range,actual terminal identifiers,branch protection; quantities are proposals, verify kit/unit basis before quotation</t>
        </is>
      </c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  <row r="17" ht="53" customHeight="1">
      <c r="A17" s="3" t="inlineStr">
        <is>
          <t>PB_NC</t>
        </is>
      </c>
      <c r="B17" s="3" t="inlineStr">
        <is>
          <t>Schneider ZBE1026 gold-flashed NC contact</t>
        </is>
      </c>
      <c r="C17" s="3" t="n">
        <v>1</v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>
        <is>
          <t>Numeric minimum switching range,actual terminal identifiers,branch protection; quantities are proposals, verify kit/unit basis before quotation</t>
        </is>
      </c>
      <c r="K17" s="3" t="inlineStr"/>
      <c r="L17" s="3" t="inlineStr">
        <is>
          <t>UNQUOTED / NOT ORDER AUTHORIZATION</t>
        </is>
      </c>
      <c r="M17" s="3">
        <f>IF(AND(ISNUMBER(C17),ISNUMBER(F17),ISNUMBER(G17),ISNUMBER(H17)),C17*F17+SUM(G17:H17),"UNQUOTED")</f>
        <v/>
      </c>
    </row>
    <row r="18" ht="68" customHeight="1">
      <c r="A18" s="2" t="inlineStr">
        <is>
          <t>PR1</t>
        </is>
      </c>
      <c r="B18" s="2" t="inlineStr">
        <is>
          <t>Independent protection and isolation</t>
        </is>
      </c>
      <c r="C18" s="2" t="inlineStr">
        <is>
          <t>1 functional assembly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Rated circuit and hazard allocation;ordinary controls/Opta/hub fuse do not substitute; quantities are proposals, verify kit/unit basis before quotation</t>
        </is>
      </c>
      <c r="K18" s="2" t="inlineStr"/>
      <c r="L18" s="2" t="inlineStr">
        <is>
          <t>UNQUOTED / NOT ORDER AUTHORIZATION</t>
        </is>
      </c>
      <c r="M18" s="2">
        <f>IF(AND(ISNUMBER(C18),ISNUMBER(F18),ISNUMBER(G18),ISNUMBER(H18)),C18*F18+SUM(G18:H18),"UNQUOTED")</f>
        <v/>
      </c>
    </row>
    <row r="19" ht="68" customHeight="1">
      <c r="A19" s="3" t="inlineStr">
        <is>
          <t>FUSE</t>
        </is>
      </c>
      <c r="B19" s="3" t="inlineStr">
        <is>
          <t>DC fuse and compatible holder</t>
        </is>
      </c>
      <c r="C19" s="3" t="inlineStr">
        <is>
          <t>Quantity unknown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3" t="inlineStr">
        <is>
          <t>Fault-time coordination,temperature,contacts and source startup;not a selected fuse; quantities are proposals, verify kit/unit basis before quotation</t>
        </is>
      </c>
      <c r="K19" s="3" t="inlineStr"/>
      <c r="L19" s="3" t="inlineStr">
        <is>
          <t>UNQUOTED / NOT ORDER AUTHORIZATION</t>
        </is>
      </c>
      <c r="M19" s="3">
        <f>IF(AND(ISNUMBER(C19),ISNUMBER(F19),ISNUMBER(G19),ISNUMBER(H19)),C19*F19+SUM(G19:H19),"UNQUOTED")</f>
        <v/>
      </c>
    </row>
    <row r="20" ht="53" customHeight="1">
      <c r="A20" s="2" t="inlineStr">
        <is>
          <t>TERM</t>
        </is>
      </c>
      <c r="B20" s="2" t="inlineStr">
        <is>
          <t>Terminals branch protection and wire system</t>
        </is>
      </c>
      <c r="C20" s="2" t="inlineStr">
        <is>
          <t>Quantity unknown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Sizes,current/fault/temperature ratings,OEM connectors and label schedule; quantities are proposals, verify kit/unit basis before quotation</t>
        </is>
      </c>
      <c r="K20" s="2" t="inlineStr"/>
      <c r="L20" s="2" t="inlineStr">
        <is>
          <t>UNQUOTED / NOT ORDER AUTHORIZATION</t>
        </is>
      </c>
      <c r="M20" s="2">
        <f>IF(AND(ISNUMBER(C20),ISNUMBER(F20),ISNUMBER(G20),ISNUMBER(H20)),C20*F20+SUM(G20:H20),"UNQUOTED")</f>
        <v/>
      </c>
    </row>
    <row r="21" ht="53" customHeight="1">
      <c r="A21" s="3" t="inlineStr">
        <is>
          <t>ENTRY</t>
        </is>
      </c>
      <c r="B21" s="3" t="inlineStr">
        <is>
          <t>Protected cable entries glands inserts and clamps</t>
        </is>
      </c>
      <c r="C21" s="3" t="inlineStr">
        <is>
          <t>Quantity unknown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>
        <is>
          <t>Insert size,lead bends,retention,feedthrough seal and guard interface; quantities are proposals, verify kit/unit basis before quotation</t>
        </is>
      </c>
      <c r="K21" s="3" t="inlineStr"/>
      <c r="L21" s="3" t="inlineStr">
        <is>
          <t>UNQUOTED / NOT ORDER AUTHORIZATION</t>
        </is>
      </c>
      <c r="M21" s="3">
        <f>IF(AND(ISNUMBER(C21),ISNUMBER(F21),ISNUMBER(G21),ISNUMBER(H21)),C21*F21+SUM(G21:H21),"UNQUOTED")</f>
        <v/>
      </c>
    </row>
    <row r="22" ht="53" customHeight="1">
      <c r="A22" s="2" t="inlineStr">
        <is>
          <t>MOUNT</t>
        </is>
      </c>
      <c r="B22" s="2" t="inlineStr">
        <is>
          <t>Control box retained mounting and component carriers</t>
        </is>
      </c>
      <c r="C22" s="2" t="inlineStr">
        <is>
          <t>1 mounting set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Actual support hardware,box placement,tower attachment,service clearance; quantities are proposals, verify kit/unit basis before quotation</t>
        </is>
      </c>
      <c r="K22" s="2" t="inlineStr"/>
      <c r="L22" s="2" t="inlineStr">
        <is>
          <t>UNQUOTED / NOT ORDER AUTHORIZATION</t>
        </is>
      </c>
      <c r="M22" s="2">
        <f>IF(AND(ISNUMBER(C22),ISNUMBER(F22),ISNUMBER(G22),ISNUMBER(H22)),C22*F22+SUM(G22:H22),"UNQUOTED")</f>
        <v/>
      </c>
    </row>
    <row r="23" ht="53" customHeight="1">
      <c r="A23" s="3" t="inlineStr">
        <is>
          <t>CAB</t>
        </is>
      </c>
      <c r="B23" s="3" t="inlineStr">
        <is>
          <t>R03M493-object cabinet geometry</t>
        </is>
      </c>
      <c r="C23" s="3" t="inlineStr">
        <is>
          <t>1 assembly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>
        <is>
          <t>Material grade,joint strength,whole mass/CG,stability; quantities are proposals, verify kit/unit basis before quotation</t>
        </is>
      </c>
      <c r="K23" s="3" t="inlineStr"/>
      <c r="L23" s="3" t="inlineStr">
        <is>
          <t>UNQUOTED / NOT ORDER AUTHORIZATION</t>
        </is>
      </c>
      <c r="M23" s="3">
        <f>IF(AND(ISNUMBER(C23),ISNUMBER(F23),ISNUMBER(G23),ISNUMBER(H23)),C23*F23+SUM(G23:H23),"UNQUOTED")</f>
        <v/>
      </c>
    </row>
    <row r="24" ht="53" customHeight="1">
      <c r="A24" s="2" t="inlineStr">
        <is>
          <t>GUARD</t>
        </is>
      </c>
      <c r="B24" s="2" t="inlineStr">
        <is>
          <t>R03M perforated guards</t>
        </is>
      </c>
      <c r="C24" s="2" t="inlineStr">
        <is>
          <t>2 assemblies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Perforated strength,reach,side seam and attachment criteria; quantities are proposals, verify kit/unit basis before quotation</t>
        </is>
      </c>
      <c r="K24" s="2" t="inlineStr"/>
      <c r="L24" s="2" t="inlineStr">
        <is>
          <t>UNQUOTED / NOT ORDER AUTHORIZATION</t>
        </is>
      </c>
      <c r="M24" s="2">
        <f>IF(AND(ISNUMBER(C24),ISNUMBER(F24),ISNUMBER(G24),ISNUMBER(H24)),C24*F24+SUM(G24:H24),"UNQUOTED")</f>
        <v/>
      </c>
    </row>
    <row r="25" ht="53" customHeight="1">
      <c r="A25" s="3" t="inlineStr">
        <is>
          <t>FIX</t>
        </is>
      </c>
      <c r="B25" s="3" t="inlineStr">
        <is>
          <t>R03M fasteners and compression limiters</t>
        </is>
      </c>
      <c r="C25" s="3" t="inlineStr">
        <is>
          <t>One scheduled set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3" t="inlineStr">
        <is>
          <t>Actual grades,torques,bearing,withdrawal and tolerances; quantities are proposals, verify kit/unit basis before quotation</t>
        </is>
      </c>
      <c r="K25" s="3" t="inlineStr"/>
      <c r="L25" s="3" t="inlineStr">
        <is>
          <t>UNQUOTED / NOT ORDER AUTHORIZATION</t>
        </is>
      </c>
      <c r="M25" s="3">
        <f>IF(AND(ISNUMBER(C25),ISNUMBER(F25),ISNUMBER(G25),ISNUMBER(H25)),C25*F25+SUM(G25:H25),"UNQUOTED")</f>
        <v/>
      </c>
    </row>
    <row r="26" ht="53" customHeight="1">
      <c r="A26" s="2" t="inlineStr">
        <is>
          <t>SEAL</t>
        </is>
      </c>
      <c r="B26" s="2" t="inlineStr">
        <is>
          <t>Filter fan and penetration gaskets</t>
        </is>
      </c>
      <c r="C26" s="2" t="inlineStr">
        <is>
          <t>One design set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Force-compression curves,flatness,tolerances,bypass and closure loads; quantities are proposals, verify kit/unit basis before quotation</t>
        </is>
      </c>
      <c r="K26" s="2" t="inlineStr"/>
      <c r="L26" s="2" t="inlineStr">
        <is>
          <t>UNQUOTED / NOT ORDER AUTHORIZATION</t>
        </is>
      </c>
      <c r="M26" s="2">
        <f>IF(AND(ISNUMBER(C26),ISNUMBER(F26),ISNUMBER(G26),ISNUMBER(H26)),C26*F26+SUM(G26:H26),"UNQUOTED")</f>
        <v/>
      </c>
    </row>
    <row r="27" ht="53" customHeight="1">
      <c r="A27" s="3" t="inlineStr">
        <is>
          <t>FEET</t>
        </is>
      </c>
      <c r="B27" s="3" t="inlineStr">
        <is>
          <t>R03M retained feet</t>
        </is>
      </c>
      <c r="C27" s="3" t="n">
        <v>4</v>
      </c>
      <c r="D27" s="3" t="inlineStr"/>
      <c r="E27" s="3" t="inlineStr"/>
      <c r="F27" s="3" t="inlineStr"/>
      <c r="G27" s="3" t="inlineStr"/>
      <c r="H27" s="3" t="inlineStr"/>
      <c r="I27" s="3" t="inlineStr"/>
      <c r="J27" s="3" t="inlineStr">
        <is>
          <t>Material,retention,bearing,complete stability and cable-pull evidence; quantities are proposals, verify kit/unit basis before quotation</t>
        </is>
      </c>
      <c r="K27" s="3" t="inlineStr"/>
      <c r="L27" s="3" t="inlineStr">
        <is>
          <t>UNQUOTED / NOT ORDER AUTHORIZATION</t>
        </is>
      </c>
      <c r="M27" s="3">
        <f>IF(AND(ISNUMBER(C27),ISNUMBER(F27),ISNUMBER(G27),ISNUMBER(H27)),C27*F27+SUM(G27:H27),"UNQUOTED")</f>
        <v/>
      </c>
    </row>
    <row r="28" ht="53" customHeight="1">
      <c r="A28" s="2" t="inlineStr">
        <is>
          <t>TEST</t>
        </is>
      </c>
      <c r="B28" s="2" t="inlineStr">
        <is>
          <t>Calibrated airflow pressure power noise PM tests</t>
        </is>
      </c>
      <c r="C28" s="2" t="inlineStr">
        <is>
          <t>One service scope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Exact methods,instruments,room and acceptance thresholds; quantities are proposals, verify kit/unit basis before quotation</t>
        </is>
      </c>
      <c r="K28" s="2" t="inlineStr"/>
      <c r="L28" s="2" t="inlineStr">
        <is>
          <t>UNQUOTED / NOT ORDER AUTHORIZATION</t>
        </is>
      </c>
      <c r="M28" s="2">
        <f>IF(AND(ISNUMBER(C28),ISNUMBER(F28),ISNUMBER(G28),ISNUMBER(H28)),C28*F28+SUM(G28:H28),"UNQUOTED")</f>
        <v/>
      </c>
    </row>
    <row r="29" ht="53" customHeight="1">
      <c r="A29" s="3" t="inlineStr">
        <is>
          <t>BUILD</t>
        </is>
      </c>
      <c r="B29" s="3" t="inlineStr">
        <is>
          <t>Qualified fabrication assembly and commissioning</t>
        </is>
      </c>
      <c r="C29" s="3" t="inlineStr">
        <is>
          <t>One service scope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>
        <is>
          <t>Real quotes,review scope,procurement authorization and signed physical results; quantities are proposals, verify kit/unit basis before quotation</t>
        </is>
      </c>
      <c r="K29" s="3" t="inlineStr"/>
      <c r="L29" s="3" t="inlineStr">
        <is>
          <t>UNQUOTED / NOT ORDER AUTHORIZATION</t>
        </is>
      </c>
      <c r="M29" s="3">
        <f>IF(AND(ISNUMBER(C29),ISNUMBER(F29),ISNUMBER(G29),ISNUMBER(H29)),C29*F29+SUM(G29:H29),"UNQUOTED")</f>
        <v/>
      </c>
    </row>
  </sheetData>
  <autoFilter ref="A1:M29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.55" customWidth="1" min="2" max="2"/>
    <col width="27.95" customWidth="1" min="3" max="3"/>
    <col width="34.45" customWidth="1" min="4" max="4"/>
    <col width="48.1" customWidth="1" min="5" max="5"/>
    <col width="55" customWidth="1" min="6" max="6"/>
    <col width="53.95" customWidth="1" min="7" max="7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Exact_product_or_geometry</t>
        </is>
      </c>
      <c r="D1" s="1" t="inlineStr">
        <is>
          <t>Status</t>
        </is>
      </c>
      <c r="E1" s="1" t="inlineStr">
        <is>
          <t>Known_basis</t>
        </is>
      </c>
      <c r="F1" s="1" t="inlineStr">
        <is>
          <t>Not_released_or_unknown</t>
        </is>
      </c>
      <c r="G1" s="1" t="inlineStr">
        <is>
          <t>Evidence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black ACFAN00287A</t>
        </is>
      </c>
      <c r="D2" s="2" t="inlineStr">
        <is>
          <t>VERIFIED OEM REFERENCE / NOT PURCHASE RELEASE</t>
        </is>
      </c>
      <c r="E2" s="2" t="inlineStr">
        <is>
          <t>140x140x27mm;12V;0.35A each;245g;0-40C OEM ambient</t>
        </is>
      </c>
      <c r="F2" s="2" t="inlineStr">
        <is>
          <t>Delivered revision,cable/connector dimensions,installed duty,guards and protection</t>
        </is>
      </c>
      <c r="G2" s="2" t="inlineStr">
        <is>
          <t>reports/prototype_d01/component_validation/README.md</t>
        </is>
      </c>
    </row>
    <row r="3" ht="38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filters</t>
        </is>
      </c>
      <c r="D3" s="3" t="inlineStr">
        <is>
          <t>EXPERIMENTAL REFERENCE / NOT CUSTOM-USE APPROVAL</t>
        </is>
      </c>
      <c r="E3" s="3" t="inlineStr">
        <is>
          <t>370x290x40mm catalogue envelope</t>
        </is>
      </c>
      <c r="F3" s="3" t="inlineStr">
        <is>
          <t>Actual tolerances,frame,seals,clean/loaded resistance; OEM specifies STARKVIND use</t>
        </is>
      </c>
      <c r="G3" s="3" t="inlineStr">
        <is>
          <t>reports/prototype_d01/r02_adapter/README.md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VERIFIED OEM REFERENCE / NOT PURCHASE RELEASE</t>
        </is>
      </c>
      <c r="E4" s="2" t="inlineStr">
        <is>
          <t>External12V2A24W adapter</t>
        </is>
      </c>
      <c r="F4" s="2" t="inlineStr">
        <is>
          <t>Actual startup/auxiliary demand,fault coordination,site suitability</t>
        </is>
      </c>
      <c r="G4" s="2" t="inlineStr">
        <is>
          <t>reports/prototype_d01/electrical_package/POWER_COORDINATION.json</t>
        </is>
      </c>
    </row>
    <row r="5" ht="38" customHeight="1">
      <c r="A5" s="3" t="inlineStr">
        <is>
          <t>H1</t>
        </is>
      </c>
      <c r="B5" s="3" t="inlineStr">
        <is>
          <t>1</t>
        </is>
      </c>
      <c r="C5" s="3" t="inlineStr">
        <is>
          <t>Noctua NA-FH1 with supplied NA-EC1</t>
        </is>
      </c>
      <c r="D5" s="3" t="inlineStr">
        <is>
          <t>VERIFIED OEM REFERENCE / NOT PROTECTIVE DEVICE</t>
        </is>
      </c>
      <c r="E5" s="3" t="inlineStr">
        <is>
          <t>Selected4-pin path24W2A;93x43x12.5mm body</t>
        </is>
      </c>
      <c r="F5" s="3" t="inlineStr">
        <is>
          <t>Actual connector fit,retained carrier,cable capacity,abnormal restart behaviour</t>
        </is>
      </c>
      <c r="G5" s="3" t="inlineStr">
        <is>
          <t>reports/prototype_d01/electrical_package/control_module/CURRENT_CONTROL_CHECKS.json</t>
        </is>
      </c>
    </row>
    <row r="6" ht="38" customHeight="1">
      <c r="A6" s="2" t="inlineStr">
        <is>
          <t>SC1</t>
        </is>
      </c>
      <c r="B6" s="2" t="inlineStr">
        <is>
          <t>1</t>
        </is>
      </c>
      <c r="C6" s="2" t="inlineStr">
        <is>
          <t>Noctua NA-FC1</t>
        </is>
      </c>
      <c r="D6" s="2" t="inlineStr">
        <is>
          <t>VERIFIED OEM REFERENCE / NOT ISOLATION</t>
        </is>
      </c>
      <c r="E6" s="2" t="inlineStr">
        <is>
          <t>3A maximum;21x25x48mm body; isolated-preset proposal</t>
        </is>
      </c>
      <c r="F6" s="2" t="inlineStr">
        <is>
          <t>Actual mounting,connectors,heat; no live knob interface designed</t>
        </is>
      </c>
      <c r="G6" s="2" t="inlineStr">
        <is>
          <t>reports/prototype_d01/electrical_package/control_module/README.md</t>
        </is>
      </c>
    </row>
    <row r="7" ht="38" customHeight="1">
      <c r="A7" s="3" t="inlineStr">
        <is>
          <t>EXT</t>
        </is>
      </c>
      <c r="B7" s="3" t="inlineStr">
        <is>
          <t>2 candidate extension leads</t>
        </is>
      </c>
      <c r="C7" s="3" t="inlineStr">
        <is>
          <t>Noctua NA-EC1 from NA-SEC1 kit</t>
        </is>
      </c>
      <c r="D7" s="3" t="inlineStr">
        <is>
          <t>CANDIDATE / UNSELECTED</t>
        </is>
      </c>
      <c r="E7" s="3" t="inlineStr">
        <is>
          <t>300mm;NA-SEC1 kit has3 leads</t>
        </is>
      </c>
      <c r="F7" s="3" t="inlineStr">
        <is>
          <t>Exact lead count and connector/gland fit pending;do not duplicate supplied hub lead</t>
        </is>
      </c>
      <c r="G7" s="3" t="inlineStr">
        <is>
          <t>reports/prototype_d01/mechanical_package/harness_detail/README.md</t>
        </is>
      </c>
    </row>
    <row r="8" ht="38" customHeight="1">
      <c r="A8" s="2" t="inlineStr">
        <is>
          <t>CTRL1</t>
        </is>
      </c>
      <c r="B8" s="2" t="inlineStr">
        <is>
          <t>1</t>
        </is>
      </c>
      <c r="C8" s="2" t="inlineStr">
        <is>
          <t>Arduino Opta Lite AFX00003</t>
        </is>
      </c>
      <c r="D8" s="2" t="inlineStr">
        <is>
          <t>VERIFIED OEM REFERENCE / ORDINARY BENCH ONLY</t>
        </is>
      </c>
      <c r="E8" s="2" t="inlineStr">
        <is>
          <t>70x88.8mm front;61.1mm reserved depth;12-24V;max2W;target compile verified</t>
        </is>
      </c>
      <c r="F8" s="2" t="inlineStr">
        <is>
          <t>Protective functions not implemented or validated; no upload/physical test</t>
        </is>
      </c>
      <c r="G8" s="2" t="inlineStr">
        <is>
          <t>reports/prototype_d01/electrical_package/OPTA_BOARD_BUILD.json</t>
        </is>
      </c>
    </row>
    <row r="9" ht="38" customHeight="1">
      <c r="A9" s="3" t="inlineStr">
        <is>
          <t>CB1</t>
        </is>
      </c>
      <c r="B9" s="3" t="inlineStr">
        <is>
          <t>1</t>
        </is>
      </c>
      <c r="C9" s="3" t="inlineStr">
        <is>
          <t>Hammond1554XA2GY</t>
        </is>
      </c>
      <c r="D9" s="3" t="inlineStr">
        <is>
          <t>VERIFIED OEM REFERENCE / MODIFIED ASSEMBLY UNRELEASED</t>
        </is>
      </c>
      <c r="E9" s="3" t="inlineStr">
        <is>
          <t>Nominal300x200x120mm external box;24-solid private OEM STEP</t>
        </is>
      </c>
      <c r="F9" s="3" t="inlineStr">
        <is>
          <t>Whole mounting,entries,thermal,modified ingress,protection and actual fit</t>
        </is>
      </c>
      <c r="G9" s="3" t="inlineStr">
        <is>
          <t>reports/prototype_d01/electrical_package/control_module/CURRENT_CONTROL_CHECKS.json</t>
        </is>
      </c>
    </row>
    <row r="10" ht="38" customHeight="1">
      <c r="A10" s="2" t="inlineStr">
        <is>
          <t>PL1</t>
        </is>
      </c>
      <c r="B10" s="2" t="inlineStr">
        <is>
          <t>1</t>
        </is>
      </c>
      <c r="C10" s="2" t="inlineStr">
        <is>
          <t>Hammond1554XPL</t>
        </is>
      </c>
      <c r="D10" s="2" t="inlineStr">
        <is>
          <t>VERIFIED OEM REFERENCE / DRILLING UNRELEASED</t>
        </is>
      </c>
      <c r="E10" s="2" t="inlineStr">
        <is>
          <t>285x185mm panel;STEP thickness1.6256mm vs catalogue2mm rounding</t>
        </is>
      </c>
      <c r="F10" s="2" t="inlineStr">
        <is>
          <t>Delivered thickness,edge contour,holes,fasteners,functional earth/metal treatment</t>
        </is>
      </c>
      <c r="G10" s="2" t="inlineStr">
        <is>
          <t>reports/prototype_d01/electrical_package/control_module/README.md</t>
        </is>
      </c>
    </row>
    <row r="11" ht="53" customHeight="1">
      <c r="A11" s="3" t="inlineStr">
        <is>
          <t>DIN1</t>
        </is>
      </c>
      <c r="B11" s="3" t="inlineStr">
        <is>
          <t>1 proposed125mm cut</t>
        </is>
      </c>
      <c r="C11" s="3" t="inlineStr">
        <is>
          <t>35x7.5mm rail;Phoenix0801733 reference</t>
        </is>
      </c>
      <c r="D11" s="3" t="inlineStr">
        <is>
          <t>CANDIDATE GEOMETRY / UNSELECTED PURCHASE LINE</t>
        </is>
      </c>
      <c r="E11" s="3" t="inlineStr">
        <is>
          <t>Reference15x6.2mm slots at25mm pitch</t>
        </is>
      </c>
      <c r="F11" s="3" t="inlineStr">
        <is>
          <t>Obtain suitable cut piece;reference catalogue pack is not procurement quantity;attachment unapproved</t>
        </is>
      </c>
      <c r="G11" s="3" t="inlineStr">
        <is>
          <t>reports/prototype_d01/electrical_package/control_module/README.md</t>
        </is>
      </c>
    </row>
    <row r="12" ht="38" customHeight="1">
      <c r="A12" s="2" t="inlineStr">
        <is>
          <t>PB_START</t>
        </is>
      </c>
      <c r="B12" s="2" t="inlineStr">
        <is>
          <t>1</t>
        </is>
      </c>
      <c r="C12" s="2" t="inlineStr">
        <is>
          <t>Schneider ZB5AA3 green spring-return head</t>
        </is>
      </c>
      <c r="D12" s="2" t="inlineStr">
        <is>
          <t>CANDIDATE / NOT RELEASED</t>
        </is>
      </c>
      <c r="E12" s="2" t="inlineStr">
        <is>
          <t>22mm class; proposed22.3+0.4/-0 hole;1-6mm panel range</t>
        </is>
      </c>
      <c r="F12" s="2" t="inlineStr">
        <is>
          <t>Actual full stack,labels,torque,retention,sealing</t>
        </is>
      </c>
      <c r="G12" s="2" t="inlineStr">
        <is>
          <t>reports/prototype_d01/electrical_package/control_module/LID_CONTROL_PARTS.csv</t>
        </is>
      </c>
    </row>
    <row r="13" ht="38" customHeight="1">
      <c r="A13" s="3" t="inlineStr">
        <is>
          <t>PB_STOP</t>
        </is>
      </c>
      <c r="B13" s="3" t="inlineStr">
        <is>
          <t>1</t>
        </is>
      </c>
      <c r="C13" s="3" t="inlineStr">
        <is>
          <t>Schneider ZB5AA4 red spring-return head</t>
        </is>
      </c>
      <c r="D13" s="3" t="inlineStr">
        <is>
          <t>CANDIDATE / ORDINARY STOP ONLY</t>
        </is>
      </c>
      <c r="E13" s="3" t="inlineStr">
        <is>
          <t>Same head family;NC sensing contact proposed</t>
        </is>
      </c>
      <c r="F13" s="3" t="inlineStr">
        <is>
          <t>Not emergency stop,isolation or protective restart</t>
        </is>
      </c>
      <c r="G13" s="3" t="inlineStr">
        <is>
          <t>reports/prototype_d01/electrical_package/control_module/LID_CONTROL_PARTS.csv</t>
        </is>
      </c>
    </row>
    <row r="14" ht="38" customHeight="1">
      <c r="A14" s="2" t="inlineStr">
        <is>
          <t>PB_RESET</t>
        </is>
      </c>
      <c r="B14" s="2" t="inlineStr">
        <is>
          <t>1</t>
        </is>
      </c>
      <c r="C14" s="2" t="inlineStr">
        <is>
          <t>Schneider ZB5AA6 blue spring-return head</t>
        </is>
      </c>
      <c r="D14" s="2" t="inlineStr">
        <is>
          <t>CANDIDATE / NOT RELEASED</t>
        </is>
      </c>
      <c r="E14" s="2" t="inlineStr">
        <is>
          <t>Same head family;NO sensing contact proposed</t>
        </is>
      </c>
      <c r="F14" s="2" t="inlineStr">
        <is>
          <t>Reset is not start or protective restart approval</t>
        </is>
      </c>
      <c r="G14" s="2" t="inlineStr">
        <is>
          <t>reports/prototype_d01/electrical_package/control_module/LID_CONTROL_PARTS.csv</t>
        </is>
      </c>
    </row>
    <row r="15" ht="38" customHeight="1">
      <c r="A15" s="3" t="inlineStr">
        <is>
          <t>PB_COLLAR</t>
        </is>
      </c>
      <c r="B15" s="3" t="inlineStr">
        <is>
          <t>3</t>
        </is>
      </c>
      <c r="C15" s="3" t="inlineStr">
        <is>
          <t>Schneider ZB5AZ009 fixing collar</t>
        </is>
      </c>
      <c r="D15" s="3" t="inlineStr">
        <is>
          <t>CANDIDATE / NOT RELEASED</t>
        </is>
      </c>
      <c r="E15" s="3" t="inlineStr">
        <is>
          <t>OEM XB5 electrical-block collar reference</t>
        </is>
      </c>
      <c r="F15" s="3" t="inlineStr">
        <is>
          <t>Delivered mounting stack and required accessories</t>
        </is>
      </c>
      <c r="G15" s="3" t="inlineStr">
        <is>
          <t>reports/prototype_d01/electrical_package/control_module/LID_CONTROL_PARTS.csv</t>
        </is>
      </c>
    </row>
    <row r="16" ht="38" customHeight="1">
      <c r="A16" s="2" t="inlineStr">
        <is>
          <t>PB_NO</t>
        </is>
      </c>
      <c r="B16" s="2" t="inlineStr">
        <is>
          <t>2</t>
        </is>
      </c>
      <c r="C16" s="2" t="inlineStr">
        <is>
          <t>Schneider ZBE1016 gold-flashed NO contact</t>
        </is>
      </c>
      <c r="D16" s="2" t="inlineStr">
        <is>
          <t>CANDIDATE / NUMERIC LOW-CURRENT SUITABILITY UNKNOWN</t>
        </is>
      </c>
      <c r="E16" s="2" t="inlineStr">
        <is>
          <t>Current2026 OEM catalogue low-power designation verified</t>
        </is>
      </c>
      <c r="F16" s="2" t="inlineStr">
        <is>
          <t>Numeric minimum switching range,actual terminal identifiers,branch protection</t>
        </is>
      </c>
      <c r="G16" s="2" t="inlineStr">
        <is>
          <t>reports/prototype_d01/electrical_package/control_module/CURRENT_CONTROL_CHECKS.json</t>
        </is>
      </c>
    </row>
    <row r="17" ht="38" customHeight="1">
      <c r="A17" s="3" t="inlineStr">
        <is>
          <t>PB_NC</t>
        </is>
      </c>
      <c r="B17" s="3" t="inlineStr">
        <is>
          <t>1</t>
        </is>
      </c>
      <c r="C17" s="3" t="inlineStr">
        <is>
          <t>Schneider ZBE1026 gold-flashed NC contact</t>
        </is>
      </c>
      <c r="D17" s="3" t="inlineStr">
        <is>
          <t>CANDIDATE / NUMERIC LOW-CURRENT SUITABILITY UNKNOWN</t>
        </is>
      </c>
      <c r="E17" s="3" t="inlineStr">
        <is>
          <t>Current2026 OEM catalogue low-power designation verified</t>
        </is>
      </c>
      <c r="F17" s="3" t="inlineStr">
        <is>
          <t>Numeric minimum switching range,actual terminal identifiers,branch protection</t>
        </is>
      </c>
      <c r="G17" s="3" t="inlineStr">
        <is>
          <t>reports/prototype_d01/electrical_package/control_module/CURRENT_CONTROL_CHECKS.json</t>
        </is>
      </c>
    </row>
    <row r="18" ht="38" customHeight="1">
      <c r="A18" s="2" t="inlineStr">
        <is>
          <t>PR1</t>
        </is>
      </c>
      <c r="B18" s="2" t="inlineStr">
        <is>
          <t>1 functional assembly</t>
        </is>
      </c>
      <c r="C18" s="2" t="inlineStr">
        <is>
          <t>Independent protection and isolation</t>
        </is>
      </c>
      <c r="D18" s="2" t="inlineStr">
        <is>
          <t>UNSELECTED</t>
        </is>
      </c>
      <c r="E18" s="2" t="inlineStr">
        <is>
          <t>Existing hazard/restart requirements remain open</t>
        </is>
      </c>
      <c r="F18" s="2" t="inlineStr">
        <is>
          <t>Rated circuit and hazard allocation;ordinary controls/Opta/hub fuse do not substitute</t>
        </is>
      </c>
      <c r="G18" s="2" t="inlineStr">
        <is>
          <t>reports/prototype_d01/electrical_package/control_module/CURRENT_RELEASE_GATES.csv</t>
        </is>
      </c>
    </row>
    <row r="19" ht="38" customHeight="1">
      <c r="A19" s="3" t="inlineStr">
        <is>
          <t>FUSE</t>
        </is>
      </c>
      <c r="B19" s="3" t="inlineStr">
        <is>
          <t>Quantity unknown</t>
        </is>
      </c>
      <c r="C19" s="3" t="inlineStr">
        <is>
          <t>DC fuse and compatible holder</t>
        </is>
      </c>
      <c r="D19" s="3" t="inlineStr">
        <is>
          <t>UNSELECTED</t>
        </is>
      </c>
      <c r="E19" s="3" t="inlineStr">
        <is>
          <t>Littelfuse0297002.WXNV2A is screening comparison only</t>
        </is>
      </c>
      <c r="F19" s="3" t="inlineStr">
        <is>
          <t>Fault-time coordination,temperature,contacts and source startup;not a selected fuse</t>
        </is>
      </c>
      <c r="G19" s="3" t="inlineStr">
        <is>
          <t>reports/prototype_d01/electrical_package/OPTA_INTEGRATION_SCREEN.json</t>
        </is>
      </c>
    </row>
    <row r="20" ht="38" customHeight="1">
      <c r="A20" s="2" t="inlineStr">
        <is>
          <t>TERM</t>
        </is>
      </c>
      <c r="B20" s="2" t="inlineStr">
        <is>
          <t>Quantity unknown</t>
        </is>
      </c>
      <c r="C20" s="2" t="inlineStr">
        <is>
          <t>Terminals branch protection and wire system</t>
        </is>
      </c>
      <c r="D20" s="2" t="inlineStr">
        <is>
          <t>UNSELECTED</t>
        </is>
      </c>
      <c r="E20" s="2" t="inlineStr">
        <is>
          <t>No rated terminal/cable assignments released</t>
        </is>
      </c>
      <c r="F20" s="2" t="inlineStr">
        <is>
          <t>Sizes,current/fault/temperature ratings,OEM connectors and label schedule</t>
        </is>
      </c>
      <c r="G20" s="2" t="inlineStr">
        <is>
          <t>reports/prototype_d01/electrical_package/control_module/CURRENT_RELEASE_GATES.csv</t>
        </is>
      </c>
    </row>
    <row r="21" ht="38" customHeight="1">
      <c r="A21" s="3" t="inlineStr">
        <is>
          <t>ENTRY</t>
        </is>
      </c>
      <c r="B21" s="3" t="inlineStr">
        <is>
          <t>Quantity unknown</t>
        </is>
      </c>
      <c r="C21" s="3" t="inlineStr">
        <is>
          <t>Protected cable entries glands inserts and clamps</t>
        </is>
      </c>
      <c r="D21" s="3" t="inlineStr">
        <is>
          <t>UNSELECTED</t>
        </is>
      </c>
      <c r="E21" s="3" t="inlineStr">
        <is>
          <t>OEM lead/connector envelope enquiries pending</t>
        </is>
      </c>
      <c r="F21" s="3" t="inlineStr">
        <is>
          <t>Insert size,lead bends,retention,feedthrough seal and guard interface</t>
        </is>
      </c>
      <c r="G21" s="3" t="inlineStr">
        <is>
          <t>reports/prototype_d01/mechanical_package/harness_detail/README.md</t>
        </is>
      </c>
    </row>
    <row r="22" ht="53" customHeight="1">
      <c r="A22" s="2" t="inlineStr">
        <is>
          <t>MOUNT</t>
        </is>
      </c>
      <c r="B22" s="2" t="inlineStr">
        <is>
          <t>1 mounting set</t>
        </is>
      </c>
      <c r="C22" s="2" t="inlineStr">
        <is>
          <t>Control box retained mounting and component carriers</t>
        </is>
      </c>
      <c r="D22" s="2" t="inlineStr">
        <is>
          <t>UNSELECTED</t>
        </is>
      </c>
      <c r="E22" s="2" t="inlineStr">
        <is>
          <t>5mm hub/controller lift and DIN seating are assumed envelopes</t>
        </is>
      </c>
      <c r="F22" s="2" t="inlineStr">
        <is>
          <t>Actual support hardware,box placement,tower attachment,service clearance</t>
        </is>
      </c>
      <c r="G22" s="2" t="inlineStr">
        <is>
          <t>reports/prototype_d01/electrical_package/control_module/CURRENT_CONTROL_CHECKS.json</t>
        </is>
      </c>
    </row>
    <row r="23" ht="38" customHeight="1">
      <c r="A23" s="3" t="inlineStr">
        <is>
          <t>CAB</t>
        </is>
      </c>
      <c r="B23" s="3" t="inlineStr">
        <is>
          <t>1 assembly</t>
        </is>
      </c>
      <c r="C23" s="3" t="inlineStr">
        <is>
          <t>R03M493-object cabinet geometry</t>
        </is>
      </c>
      <c r="D23" s="3" t="inlineStr">
        <is>
          <t>PROPOSED REVIEW CAD / NOT FABRICATION RELEASE</t>
        </is>
      </c>
      <c r="E23" s="3" t="inlineStr">
        <is>
          <t>Native assembly and15 review DXFs controlling geometry</t>
        </is>
      </c>
      <c r="F23" s="3" t="inlineStr">
        <is>
          <t>Material grade,joint strength,whole mass/CG,stability</t>
        </is>
      </c>
      <c r="G23" s="3" t="inlineStr">
        <is>
          <t>reports/prototype_d01/mechanical_package/README.md</t>
        </is>
      </c>
    </row>
    <row r="24" ht="38" customHeight="1">
      <c r="A24" s="2" t="inlineStr">
        <is>
          <t>GUARD</t>
        </is>
      </c>
      <c r="B24" s="2" t="inlineStr">
        <is>
          <t>2 assemblies</t>
        </is>
      </c>
      <c r="C24" s="2" t="inlineStr">
        <is>
          <t>R03M perforated guards</t>
        </is>
      </c>
      <c r="D24" s="2" t="inlineStr">
        <is>
          <t>PROPOSED REVIEW CAD / NOT SAFETY RELEASE</t>
        </is>
      </c>
      <c r="E24" s="2" t="inlineStr">
        <is>
          <t>2822 holes per face;open area0.0354623m2 each</t>
        </is>
      </c>
      <c r="F24" s="2" t="inlineStr">
        <is>
          <t>Perforated strength,reach,side seam and attachment criteria</t>
        </is>
      </c>
      <c r="G24" s="2" t="inlineStr">
        <is>
          <t>reports/prototype_d01/mechanical_package/GUARD_ACCESS_DECISION.md</t>
        </is>
      </c>
    </row>
    <row r="25" ht="38" customHeight="1">
      <c r="A25" s="3" t="inlineStr">
        <is>
          <t>FIX</t>
        </is>
      </c>
      <c r="B25" s="3" t="inlineStr">
        <is>
          <t>One scheduled set</t>
        </is>
      </c>
      <c r="C25" s="3" t="inlineStr">
        <is>
          <t>R03M fasteners and compression limiters</t>
        </is>
      </c>
      <c r="D25" s="3" t="inlineStr">
        <is>
          <t>PROPOSED GEOMETRY / UNRELEASED</t>
        </is>
      </c>
      <c r="E25" s="3" t="inlineStr">
        <is>
          <t>Use FASTENER_SCHEDULE quantities;do not sum inventory duplicates</t>
        </is>
      </c>
      <c r="F25" s="3" t="inlineStr">
        <is>
          <t>Actual grades,torques,bearing,withdrawal and tolerances</t>
        </is>
      </c>
      <c r="G25" s="3" t="inlineStr">
        <is>
          <t>reports/prototype_d01/mechanical_package/FASTENER_SCHEDULE.csv</t>
        </is>
      </c>
    </row>
    <row r="26" ht="38" customHeight="1">
      <c r="A26" s="2" t="inlineStr">
        <is>
          <t>SEAL</t>
        </is>
      </c>
      <c r="B26" s="2" t="inlineStr">
        <is>
          <t>One design set</t>
        </is>
      </c>
      <c r="C26" s="2" t="inlineStr">
        <is>
          <t>Filter fan and penetration gaskets</t>
        </is>
      </c>
      <c r="D26" s="2" t="inlineStr">
        <is>
          <t>UNSELECTED MATERIAL</t>
        </is>
      </c>
      <c r="E26" s="2" t="inlineStr">
        <is>
          <t>Installed geometric envelopes only</t>
        </is>
      </c>
      <c r="F26" s="2" t="inlineStr">
        <is>
          <t>Force-compression curves,flatness,tolerances,bypass and closure loads</t>
        </is>
      </c>
      <c r="G26" s="2" t="inlineStr">
        <is>
          <t>reports/prototype_d01/mechanical_package/README.md</t>
        </is>
      </c>
    </row>
    <row r="27" ht="38" customHeight="1">
      <c r="A27" s="3" t="inlineStr">
        <is>
          <t>FEET</t>
        </is>
      </c>
      <c r="B27" s="3" t="inlineStr">
        <is>
          <t>4</t>
        </is>
      </c>
      <c r="C27" s="3" t="inlineStr">
        <is>
          <t>R03M retained feet</t>
        </is>
      </c>
      <c r="D27" s="3" t="inlineStr">
        <is>
          <t>PROPOSED GEOMETRY / UNRELEASED</t>
        </is>
      </c>
      <c r="E27" s="3" t="inlineStr">
        <is>
          <t>Nominal support geometry extracted digitally</t>
        </is>
      </c>
      <c r="F27" s="3" t="inlineStr">
        <is>
          <t>Material,retention,bearing,complete stability and cable-pull evidence</t>
        </is>
      </c>
      <c r="G27" s="3" t="inlineStr">
        <is>
          <t>reports/prototype_d01/mechanical_package/mass_stability_review.json</t>
        </is>
      </c>
    </row>
    <row r="28" ht="38" customHeight="1">
      <c r="A28" s="2" t="inlineStr">
        <is>
          <t>TEST</t>
        </is>
      </c>
      <c r="B28" s="2" t="inlineStr">
        <is>
          <t>One service scope</t>
        </is>
      </c>
      <c r="C28" s="2" t="inlineStr">
        <is>
          <t>Calibrated airflow pressure power noise PM tests</t>
        </is>
      </c>
      <c r="D28" s="2" t="inlineStr">
        <is>
          <t>UNSELECTED / NO PHYSICAL DATA</t>
        </is>
      </c>
      <c r="E28" s="2" t="inlineStr">
        <is>
          <t>No college lab assumed;rent or paid-service route</t>
        </is>
      </c>
      <c r="F28" s="2" t="inlineStr">
        <is>
          <t>Exact methods,instruments,room and acceptance thresholds</t>
        </is>
      </c>
      <c r="G28" s="2" t="inlineStr">
        <is>
          <t>docs/build/NO_LAB_BUILD_ROUTE.md</t>
        </is>
      </c>
    </row>
    <row r="29" ht="38" customHeight="1">
      <c r="A29" s="3" t="inlineStr">
        <is>
          <t>BUILD</t>
        </is>
      </c>
      <c r="B29" s="3" t="inlineStr">
        <is>
          <t>One service scope</t>
        </is>
      </c>
      <c r="C29" s="3" t="inlineStr">
        <is>
          <t>Qualified fabrication assembly and commissioning</t>
        </is>
      </c>
      <c r="D29" s="3" t="inlineStr">
        <is>
          <t>UNSELECTED</t>
        </is>
      </c>
      <c r="E29" s="3" t="inlineStr">
        <is>
          <t>Funding support only;workshop service not booked</t>
        </is>
      </c>
      <c r="F29" s="3" t="inlineStr">
        <is>
          <t>Real quotes,review scope,procurement authorization and signed physical results</t>
        </is>
      </c>
      <c r="G29" s="3" t="inlineStr">
        <is>
          <t>reports/prototype_d01/electrical_package/control_module/CURRENT_RELEASE_GATES.csv</t>
        </is>
      </c>
    </row>
  </sheetData>
  <autoFilter ref="A1:G29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.95" customWidth="1" min="3" max="3"/>
    <col width="35.1" customWidth="1" min="4" max="4"/>
    <col width="55" customWidth="1" min="5" max="5"/>
    <col width="42.9" customWidth="1" min="6" max="6"/>
    <col width="14" customWidth="1" min="7" max="7"/>
    <col width="14" customWidth="1" min="8" max="8"/>
    <col width="26.65" customWidth="1" min="9" max="9"/>
    <col width="43.55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  <row r="14" ht="38" customHeight="1">
      <c r="A14" s="2" t="inlineStr">
        <is>
          <t>D05</t>
        </is>
      </c>
      <c r="B14" s="2" t="inlineStr">
        <is>
          <t>Digital preparation</t>
        </is>
      </c>
      <c r="C14" s="2" t="inlineStr">
        <is>
          <t>CLOSED DIGITAL ONLY</t>
        </is>
      </c>
      <c r="D14" s="2" t="inlineStr">
        <is>
          <t>E04 assumed service-volume collisions</t>
        </is>
      </c>
      <c r="E14" s="2" t="inlineStr">
        <is>
          <t>Actual dimensions/wiring remain E02 release scope</t>
        </is>
      </c>
      <c r="F14" s="2" t="inlineStr">
        <is>
          <t>CURRENT_CONTROL_CHECKS.json; unchanged reservations mutually clear</t>
        </is>
      </c>
      <c r="G14" s="2" t="inlineStr"/>
      <c r="H14" s="2" t="inlineStr">
        <is>
          <t>2026-10-05</t>
        </is>
      </c>
      <c r="I14" s="2" t="inlineStr">
        <is>
          <t>DIGITAL PASS / NO BUILD RELEASE</t>
        </is>
      </c>
      <c r="J14" s="2" t="inlineStr">
        <is>
          <t>CURRENT_CONTROL_CHECKS.json</t>
        </is>
      </c>
    </row>
    <row r="15" ht="38" customHeight="1">
      <c r="A15" s="3" t="inlineStr">
        <is>
          <t>D06</t>
        </is>
      </c>
      <c r="B15" s="3" t="inlineStr">
        <is>
          <t>Mechanical digital preparation</t>
        </is>
      </c>
      <c r="C15" s="3" t="inlineStr">
        <is>
          <t>CLOSED CALCULATION ONLY</t>
        </is>
      </c>
      <c r="D15" s="3" t="inlineStr">
        <is>
          <t>Filter tolerance window and cabinet joint-demand tools</t>
        </is>
      </c>
      <c r="E15" s="3" t="inlineStr">
        <is>
          <t>M01/M02/M03 physical and material inputs remain OPEN</t>
        </is>
      </c>
      <c r="F15" s="3" t="inlineStr">
        <is>
          <t>MECHANICAL_REQUIREMENTS.json;10 synthetic tests</t>
        </is>
      </c>
      <c r="G15" s="3" t="inlineStr"/>
      <c r="H15" s="3" t="inlineStr">
        <is>
          <t>2026-10-05</t>
        </is>
      </c>
      <c r="I15" s="3" t="inlineStr">
        <is>
          <t>TOOL PASS / NO SEAL OR STRUCTURAL RELEASE</t>
        </is>
      </c>
      <c r="J15" s="3" t="inlineStr">
        <is>
          <t>../../mechanical_package/batch_closure/MECHANICAL_REQUIREMENTS.json</t>
        </is>
      </c>
    </row>
    <row r="16" ht="38" customHeight="1">
      <c r="A16" s="2" t="inlineStr">
        <is>
          <t>D07</t>
        </is>
      </c>
      <c r="B16" s="2" t="inlineStr">
        <is>
          <t>Electrical digital preparation</t>
        </is>
      </c>
      <c r="C16" s="2" t="inlineStr">
        <is>
          <t>CLOSED CALCULATION ONLY</t>
        </is>
      </c>
      <c r="D16" s="2" t="inlineStr">
        <is>
          <t>Source/fan path voltage fault and hazard screens</t>
        </is>
      </c>
      <c r="E16" s="2" t="inlineStr">
        <is>
          <t>E01/E02 real component/coordination inputs remain OPEN</t>
        </is>
      </c>
      <c r="F16" s="2" t="inlineStr">
        <is>
          <t>ELECTRICAL_BATCH_SCREEN.json;8 synthetic tests</t>
        </is>
      </c>
      <c r="G16" s="2" t="inlineStr"/>
      <c r="H16" s="2" t="inlineStr">
        <is>
          <t>2026-10-05</t>
        </is>
      </c>
      <c r="I16" s="2" t="inlineStr">
        <is>
          <t>TOOL PASS / NO PROTECTION RELEASE</t>
        </is>
      </c>
      <c r="J16" s="2" t="inlineStr">
        <is>
          <t>../batch_closure/ELECTRICAL_BATCH_SCREEN.json</t>
        </is>
      </c>
    </row>
  </sheetData>
  <autoFilter ref="A1:J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.5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5" customWidth="1" min="8" max="8"/>
  </cols>
  <sheetData>
    <row r="1">
      <c r="A1" s="1" t="inlineStr">
        <is>
          <t>Object</t>
        </is>
      </c>
      <c r="B1" s="1" t="inlineStr">
        <is>
          <t>Xmin</t>
        </is>
      </c>
      <c r="C1" s="1" t="inlineStr">
        <is>
          <t>Ymin</t>
        </is>
      </c>
      <c r="D1" s="1" t="inlineStr">
        <is>
          <t>Zmin</t>
        </is>
      </c>
      <c r="E1" s="1" t="inlineStr">
        <is>
          <t>Xmax</t>
        </is>
      </c>
      <c r="F1" s="1" t="inlineStr">
        <is>
          <t>Ymax</t>
        </is>
      </c>
      <c r="G1" s="1" t="inlineStr">
        <is>
          <t>Zmax</t>
        </is>
      </c>
      <c r="H1" s="1" t="inlineStr">
        <is>
          <t>Status</t>
        </is>
      </c>
    </row>
    <row r="2" ht="38" customHeight="1">
      <c r="A2" s="2" t="inlineStr">
        <is>
          <t>CB1_SIMPLIFIED_ENVELOPE</t>
        </is>
      </c>
      <c r="B2" s="2" t="inlineStr">
        <is>
          <t>-150.0</t>
        </is>
      </c>
      <c r="C2" s="2" t="inlineStr">
        <is>
          <t>-100.0</t>
        </is>
      </c>
      <c r="D2" s="2" t="inlineStr">
        <is>
          <t>-70.08</t>
        </is>
      </c>
      <c r="E2" s="2" t="inlineStr">
        <is>
          <t>150.0</t>
        </is>
      </c>
      <c r="F2" s="2" t="inlineStr">
        <is>
          <t>100.0</t>
        </is>
      </c>
      <c r="G2" s="2" t="inlineStr">
        <is>
          <t>50.0</t>
        </is>
      </c>
      <c r="H2" s="2" t="inlineStr">
        <is>
          <t>ORIGINAL APPROXIMATE SHELL; not Hammond manufacturing geometry</t>
        </is>
      </c>
    </row>
    <row r="3" ht="38" customHeight="1">
      <c r="A3" s="3" t="inlineStr">
        <is>
          <t>PL1_SIMPLIFIED_PANEL</t>
        </is>
      </c>
      <c r="B3" s="3" t="inlineStr">
        <is>
          <t>-142.5</t>
        </is>
      </c>
      <c r="C3" s="3" t="inlineStr">
        <is>
          <t>-92.5</t>
        </is>
      </c>
      <c r="D3" s="3" t="inlineStr">
        <is>
          <t>-60.0</t>
        </is>
      </c>
      <c r="E3" s="3" t="inlineStr">
        <is>
          <t>142.5</t>
        </is>
      </c>
      <c r="F3" s="3" t="inlineStr">
        <is>
          <t>92.5</t>
        </is>
      </c>
      <c r="G3" s="3" t="inlineStr">
        <is>
          <t>-58.3744</t>
        </is>
      </c>
      <c r="H3" s="3" t="inlineStr">
        <is>
          <t>OEM285x185 outline; simplified rectangular proxy, contour/holes omitted except2 proposed4.5mm holes</t>
        </is>
      </c>
    </row>
    <row r="4" ht="38" customHeight="1">
      <c r="A4" s="2" t="inlineStr">
        <is>
          <t>DIN1_ENVELOPE</t>
        </is>
      </c>
      <c r="B4" s="2" t="inlineStr">
        <is>
          <t>-135.0</t>
        </is>
      </c>
      <c r="C4" s="2" t="inlineStr">
        <is>
          <t>-17.5</t>
        </is>
      </c>
      <c r="D4" s="2" t="inlineStr">
        <is>
          <t>-58.3744</t>
        </is>
      </c>
      <c r="E4" s="2" t="inlineStr">
        <is>
          <t>-10.0</t>
        </is>
      </c>
      <c r="F4" s="2" t="inlineStr">
        <is>
          <t>17.5</t>
        </is>
      </c>
      <c r="G4" s="2" t="inlineStr">
        <is>
          <t>-50.8744</t>
        </is>
      </c>
      <c r="H4" s="2" t="inlineStr">
        <is>
          <t>OEM35x7.5 profile envelope; proposed125mm cut, not full profile or approved attachment</t>
        </is>
      </c>
    </row>
    <row r="5" ht="38" customHeight="1">
      <c r="A5" s="3" t="inlineStr">
        <is>
          <t>CTRL1_OPTA_LITE</t>
        </is>
      </c>
      <c r="B5" s="3" t="inlineStr">
        <is>
          <t>-115.0</t>
        </is>
      </c>
      <c r="C5" s="3" t="inlineStr">
        <is>
          <t>-44.4</t>
        </is>
      </c>
      <c r="D5" s="3" t="inlineStr">
        <is>
          <t>-50.8744</t>
        </is>
      </c>
      <c r="E5" s="3" t="inlineStr">
        <is>
          <t>-45.0</t>
        </is>
      </c>
      <c r="F5" s="3" t="inlineStr">
        <is>
          <t>44.4</t>
        </is>
      </c>
      <c r="G5" s="3" t="inlineStr">
        <is>
          <t>10.2256</t>
        </is>
      </c>
      <c r="H5" s="3" t="inlineStr">
        <is>
          <t>OEM BODY DIMENSIONS / ASSUMED POSITION, ORIENTATION AND MOUNT; no connector geometry</t>
        </is>
      </c>
    </row>
    <row r="6" ht="38" customHeight="1">
      <c r="A6" s="2" t="inlineStr">
        <is>
          <t>H1_NA_FH1</t>
        </is>
      </c>
      <c r="B6" s="2" t="inlineStr">
        <is>
          <t>-15.0</t>
        </is>
      </c>
      <c r="C6" s="2" t="inlineStr">
        <is>
          <t>-70.00000000000001</t>
        </is>
      </c>
      <c r="D6" s="2" t="inlineStr">
        <is>
          <t>-53.3744</t>
        </is>
      </c>
      <c r="E6" s="2" t="inlineStr">
        <is>
          <t>28.00000000000003</t>
        </is>
      </c>
      <c r="F6" s="2" t="inlineStr">
        <is>
          <t>23.0</t>
        </is>
      </c>
      <c r="G6" s="2" t="inlineStr">
        <is>
          <t>-40.8744</t>
        </is>
      </c>
      <c r="H6" s="2" t="inlineStr">
        <is>
          <t>OEM BODY DIMENSIONS / ASSUMED POSITION, ORIENTATION AND MOUNT; no connector geometry</t>
        </is>
      </c>
    </row>
    <row r="7" ht="38" customHeight="1">
      <c r="A7" s="3" t="inlineStr">
        <is>
          <t>SC1_NA_FC1</t>
        </is>
      </c>
      <c r="B7" s="3" t="inlineStr">
        <is>
          <t>68.0</t>
        </is>
      </c>
      <c r="C7" s="3" t="inlineStr">
        <is>
          <t>-65.0</t>
        </is>
      </c>
      <c r="D7" s="3" t="inlineStr">
        <is>
          <t>-53.3744</t>
        </is>
      </c>
      <c r="E7" s="3" t="inlineStr">
        <is>
          <t>116.0</t>
        </is>
      </c>
      <c r="F7" s="3" t="inlineStr">
        <is>
          <t>-40.0</t>
        </is>
      </c>
      <c r="G7" s="3" t="inlineStr">
        <is>
          <t>-32.3744</t>
        </is>
      </c>
      <c r="H7" s="3" t="inlineStr">
        <is>
          <t>OEM BODY DIMENSIONS / ASSUMED POSITION, ORIENTATION AND MOUNT; no connector geometry</t>
        </is>
      </c>
    </row>
    <row r="8" ht="38" customHeight="1">
      <c r="A8" s="2" t="inlineStr">
        <is>
          <t>CTRL1_WIRE_SPACE_ASSUMED</t>
        </is>
      </c>
      <c r="B8" s="2" t="inlineStr">
        <is>
          <t>-125.0</t>
        </is>
      </c>
      <c r="C8" s="2" t="inlineStr">
        <is>
          <t>-64.4</t>
        </is>
      </c>
      <c r="D8" s="2" t="inlineStr">
        <is>
          <t>-50.8744</t>
        </is>
      </c>
      <c r="E8" s="2" t="inlineStr">
        <is>
          <t>-35.0</t>
        </is>
      </c>
      <c r="F8" s="2" t="inlineStr">
        <is>
          <t>64.4</t>
        </is>
      </c>
      <c r="G8" s="2" t="inlineStr">
        <is>
          <t>10.2256</t>
        </is>
      </c>
      <c r="H8" s="2" t="inlineStr">
        <is>
          <t>ASSUMED routing/service volume; actual connectors/clip release and bends unknown</t>
        </is>
      </c>
    </row>
    <row r="9" ht="38" customHeight="1">
      <c r="A9" s="3" t="inlineStr">
        <is>
          <t>H1_CONNECTOR_SPACE_ASSUMED</t>
        </is>
      </c>
      <c r="B9" s="3" t="inlineStr">
        <is>
          <t>-35.0</t>
        </is>
      </c>
      <c r="C9" s="3" t="inlineStr">
        <is>
          <t>-80.00000000000001</t>
        </is>
      </c>
      <c r="D9" s="3" t="inlineStr">
        <is>
          <t>-53.3744</t>
        </is>
      </c>
      <c r="E9" s="3" t="inlineStr">
        <is>
          <t>48.00000000000003</t>
        </is>
      </c>
      <c r="F9" s="3" t="inlineStr">
        <is>
          <t>33.00000000000001</t>
        </is>
      </c>
      <c r="G9" s="3" t="inlineStr">
        <is>
          <t>-25.8744</t>
        </is>
      </c>
      <c r="H9" s="3" t="inlineStr">
        <is>
          <t>ASSUMED routing/service volume; actual connectors/clip release and bends unknown</t>
        </is>
      </c>
    </row>
    <row r="10" ht="38" customHeight="1">
      <c r="A10" s="2" t="inlineStr">
        <is>
          <t>SC1_CONNECTOR_SPACE_ASSUMED</t>
        </is>
      </c>
      <c r="B10" s="2" t="inlineStr">
        <is>
          <t>58.0</t>
        </is>
      </c>
      <c r="C10" s="2" t="inlineStr">
        <is>
          <t>-85.0</t>
        </is>
      </c>
      <c r="D10" s="2" t="inlineStr">
        <is>
          <t>-53.3744</t>
        </is>
      </c>
      <c r="E10" s="2" t="inlineStr">
        <is>
          <t>126.0</t>
        </is>
      </c>
      <c r="F10" s="2" t="inlineStr">
        <is>
          <t>-20.0</t>
        </is>
      </c>
      <c r="G10" s="2" t="inlineStr">
        <is>
          <t>-17.3744</t>
        </is>
      </c>
      <c r="H10" s="2" t="inlineStr">
        <is>
          <t>ASSUMED routing/service volume; actual connectors/clip release and bends unknown</t>
        </is>
      </c>
    </row>
    <row r="11" ht="38" customHeight="1">
      <c r="A11" s="3" t="inlineStr">
        <is>
          <t>START_FACE_PROXY</t>
        </is>
      </c>
      <c r="B11" s="3" t="inlineStr">
        <is>
          <t>-29.5</t>
        </is>
      </c>
      <c r="C11" s="3" t="inlineStr">
        <is>
          <t>40.5</t>
        </is>
      </c>
      <c r="D11" s="3" t="inlineStr">
        <is>
          <t>50.0</t>
        </is>
      </c>
      <c r="E11" s="3" t="inlineStr">
        <is>
          <t>-0.5</t>
        </is>
      </c>
      <c r="F11" s="3" t="inlineStr">
        <is>
          <t>69.5</t>
        </is>
      </c>
      <c r="G11" s="3" t="inlineStr">
        <is>
          <t>58.0</t>
        </is>
      </c>
      <c r="H11" s="3" t="inlineStr">
        <is>
          <t>29mm head width from OEM; round face and 8mm projection ASSUMED</t>
        </is>
      </c>
    </row>
    <row r="12" ht="38" customHeight="1">
      <c r="A12" s="2" t="inlineStr">
        <is>
          <t>START_REAR_ASSUMED</t>
        </is>
      </c>
      <c r="B12" s="2" t="inlineStr">
        <is>
          <t>-35.0</t>
        </is>
      </c>
      <c r="C12" s="2" t="inlineStr">
        <is>
          <t>35.0</t>
        </is>
      </c>
      <c r="D12" s="2" t="inlineStr">
        <is>
          <t>-9.0</t>
        </is>
      </c>
      <c r="E12" s="2" t="inlineStr">
        <is>
          <t>5.0</t>
        </is>
      </c>
      <c r="F12" s="2" t="inlineStr">
        <is>
          <t>75.0</t>
        </is>
      </c>
      <c r="G12" s="2" t="inlineStr">
        <is>
          <t>46.0</t>
        </is>
      </c>
      <c r="H12" s="2" t="inlineStr">
        <is>
          <t>ASSUMED40x40x55 below inner lid; not assembled OEM dimensions</t>
        </is>
      </c>
    </row>
    <row r="13" ht="38" customHeight="1">
      <c r="A13" s="3" t="inlineStr">
        <is>
          <t>START_WIRE_TAIL_ASSUMED</t>
        </is>
      </c>
      <c r="B13" s="3" t="inlineStr">
        <is>
          <t>-35.0</t>
        </is>
      </c>
      <c r="C13" s="3" t="inlineStr">
        <is>
          <t>35.0</t>
        </is>
      </c>
      <c r="D13" s="3" t="inlineStr">
        <is>
          <t>-29.0</t>
        </is>
      </c>
      <c r="E13" s="3" t="inlineStr">
        <is>
          <t>5.0</t>
        </is>
      </c>
      <c r="F13" s="3" t="inlineStr">
        <is>
          <t>75.0</t>
        </is>
      </c>
      <c r="G13" s="3" t="inlineStr">
        <is>
          <t>-9.0</t>
        </is>
      </c>
      <c r="H13" s="3" t="inlineStr">
        <is>
          <t>ASSUMED20mm additional depth; not verified bend radius</t>
        </is>
      </c>
    </row>
    <row r="14" ht="38" customHeight="1">
      <c r="A14" s="2" t="inlineStr">
        <is>
          <t>STOP_FACE_PROXY</t>
        </is>
      </c>
      <c r="B14" s="2" t="inlineStr">
        <is>
          <t>30.5</t>
        </is>
      </c>
      <c r="C14" s="2" t="inlineStr">
        <is>
          <t>40.5</t>
        </is>
      </c>
      <c r="D14" s="2" t="inlineStr">
        <is>
          <t>50.0</t>
        </is>
      </c>
      <c r="E14" s="2" t="inlineStr">
        <is>
          <t>59.5</t>
        </is>
      </c>
      <c r="F14" s="2" t="inlineStr">
        <is>
          <t>69.5</t>
        </is>
      </c>
      <c r="G14" s="2" t="inlineStr">
        <is>
          <t>58.0</t>
        </is>
      </c>
      <c r="H14" s="2" t="inlineStr">
        <is>
          <t>29mm head width from OEM; round face and 8mm projection ASSUMED</t>
        </is>
      </c>
    </row>
    <row r="15" ht="38" customHeight="1">
      <c r="A15" s="3" t="inlineStr">
        <is>
          <t>STOP_REAR_ASSUMED</t>
        </is>
      </c>
      <c r="B15" s="3" t="inlineStr">
        <is>
          <t>25.0</t>
        </is>
      </c>
      <c r="C15" s="3" t="inlineStr">
        <is>
          <t>35.0</t>
        </is>
      </c>
      <c r="D15" s="3" t="inlineStr">
        <is>
          <t>-9.0</t>
        </is>
      </c>
      <c r="E15" s="3" t="inlineStr">
        <is>
          <t>65.0</t>
        </is>
      </c>
      <c r="F15" s="3" t="inlineStr">
        <is>
          <t>75.0</t>
        </is>
      </c>
      <c r="G15" s="3" t="inlineStr">
        <is>
          <t>46.0</t>
        </is>
      </c>
      <c r="H15" s="3" t="inlineStr">
        <is>
          <t>ASSUMED40x40x55 below inner lid; not assembled OEM dimensions</t>
        </is>
      </c>
    </row>
    <row r="16" ht="38" customHeight="1">
      <c r="A16" s="2" t="inlineStr">
        <is>
          <t>STOP_WIRE_TAIL_ASSUMED</t>
        </is>
      </c>
      <c r="B16" s="2" t="inlineStr">
        <is>
          <t>25.0</t>
        </is>
      </c>
      <c r="C16" s="2" t="inlineStr">
        <is>
          <t>35.0</t>
        </is>
      </c>
      <c r="D16" s="2" t="inlineStr">
        <is>
          <t>-29.0</t>
        </is>
      </c>
      <c r="E16" s="2" t="inlineStr">
        <is>
          <t>65.0</t>
        </is>
      </c>
      <c r="F16" s="2" t="inlineStr">
        <is>
          <t>75.0</t>
        </is>
      </c>
      <c r="G16" s="2" t="inlineStr">
        <is>
          <t>-9.0</t>
        </is>
      </c>
      <c r="H16" s="2" t="inlineStr">
        <is>
          <t>ASSUMED20mm additional depth; not verified bend radius</t>
        </is>
      </c>
    </row>
    <row r="17" ht="38" customHeight="1">
      <c r="A17" s="3" t="inlineStr">
        <is>
          <t>RESET_FACE_PROXY</t>
        </is>
      </c>
      <c r="B17" s="3" t="inlineStr">
        <is>
          <t>90.5</t>
        </is>
      </c>
      <c r="C17" s="3" t="inlineStr">
        <is>
          <t>40.5</t>
        </is>
      </c>
      <c r="D17" s="3" t="inlineStr">
        <is>
          <t>50.0</t>
        </is>
      </c>
      <c r="E17" s="3" t="inlineStr">
        <is>
          <t>119.5</t>
        </is>
      </c>
      <c r="F17" s="3" t="inlineStr">
        <is>
          <t>69.5</t>
        </is>
      </c>
      <c r="G17" s="3" t="inlineStr">
        <is>
          <t>58.0</t>
        </is>
      </c>
      <c r="H17" s="3" t="inlineStr">
        <is>
          <t>29mm head width from OEM; round face and 8mm projection ASSUMED</t>
        </is>
      </c>
    </row>
    <row r="18" ht="38" customHeight="1">
      <c r="A18" s="2" t="inlineStr">
        <is>
          <t>RESET_REAR_ASSUMED</t>
        </is>
      </c>
      <c r="B18" s="2" t="inlineStr">
        <is>
          <t>85.0</t>
        </is>
      </c>
      <c r="C18" s="2" t="inlineStr">
        <is>
          <t>35.0</t>
        </is>
      </c>
      <c r="D18" s="2" t="inlineStr">
        <is>
          <t>-9.0</t>
        </is>
      </c>
      <c r="E18" s="2" t="inlineStr">
        <is>
          <t>125.0</t>
        </is>
      </c>
      <c r="F18" s="2" t="inlineStr">
        <is>
          <t>75.0</t>
        </is>
      </c>
      <c r="G18" s="2" t="inlineStr">
        <is>
          <t>46.0</t>
        </is>
      </c>
      <c r="H18" s="2" t="inlineStr">
        <is>
          <t>ASSUMED40x40x55 below inner lid; not assembled OEM dimensions</t>
        </is>
      </c>
    </row>
    <row r="19" ht="38" customHeight="1">
      <c r="A19" s="3" t="inlineStr">
        <is>
          <t>RESET_WIRE_TAIL_ASSUMED</t>
        </is>
      </c>
      <c r="B19" s="3" t="inlineStr">
        <is>
          <t>85.0</t>
        </is>
      </c>
      <c r="C19" s="3" t="inlineStr">
        <is>
          <t>35.0</t>
        </is>
      </c>
      <c r="D19" s="3" t="inlineStr">
        <is>
          <t>-29.0</t>
        </is>
      </c>
      <c r="E19" s="3" t="inlineStr">
        <is>
          <t>125.0</t>
        </is>
      </c>
      <c r="F19" s="3" t="inlineStr">
        <is>
          <t>75.0</t>
        </is>
      </c>
      <c r="G19" s="3" t="inlineStr">
        <is>
          <t>-9.0</t>
        </is>
      </c>
      <c r="H19" s="3" t="inlineStr">
        <is>
          <t>ASSUMED20mm additional depth; not verified bend radius</t>
        </is>
      </c>
    </row>
  </sheetData>
  <autoFilter ref="A1:H19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2026-10-04T23:26:17Z</dcterms:created>
  <dcterms:modified xmlns:dcterms="http://purl.org/dc/terms/" xmlns:xsi="http://www.w3.org/2001/XMLSchema-instance" xsi:type="dcterms:W3CDTF">2026-10-04T23:26:18Z</dcterms:modified>
</cp:coreProperties>
</file>