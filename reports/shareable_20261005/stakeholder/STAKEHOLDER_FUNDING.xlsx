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</sheets>
  <definedNames>
    <definedName name="_xlnm._FilterDatabase" localSheetId="0" hidden="1">'Read me'!$A$1:$B$7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quotes'!$A$1:$M$29</definedName>
    <definedName name="_xlnm.Print_Titles" localSheetId="4">'Funding quotes'!$1:$1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8" customHeight="1">
      <c r="A2" s="2" t="inlineStr">
        <is>
          <t>Revision</t>
        </is>
      </c>
      <c r="B2" s="2" t="inlineStr">
        <is>
          <t>D01 R03M / E05 / current parallel batch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68" customHeight="1">
      <c r="A4" s="2" t="inlineStr">
        <is>
          <t>Current parts</t>
        </is>
      </c>
      <c r="B4" s="2" t="inlineStr">
        <is>
          <t>Funding quotes and Current combined parts use28 current references; other parts/release tabs are historical snapshots. Verify quote unit/kit basis before entering quantity.</t>
        </is>
      </c>
    </row>
    <row r="5" ht="38" customHeight="1">
      <c r="A5" s="3" t="inlineStr">
        <is>
          <t>Prices</t>
        </is>
      </c>
      <c r="B5" s="3" t="inlineStr">
        <is>
          <t>Blank means UNKNOWN; no prices have been invented.</t>
        </is>
      </c>
    </row>
    <row r="6" ht="36" customHeight="1">
      <c r="A6" s="2" t="inlineStr">
        <is>
          <t>Evidence</t>
        </is>
      </c>
      <c r="B6" s="2" t="inlineStr">
        <is>
          <t>CAD/digital checks are not physical results.</t>
        </is>
      </c>
    </row>
    <row r="7" ht="38" customHeight="1">
      <c r="A7" s="3" t="inlineStr">
        <is>
          <t>Team</t>
        </is>
      </c>
      <c r="B7" s="3" t="inlineStr">
        <is>
          <t>College/NGO funding; no college lab assumed; qualified physical services still needed.</t>
        </is>
      </c>
    </row>
  </sheetData>
  <autoFilter ref="A1:B7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7.95" customWidth="1" min="2" max="2"/>
    <col width="17.55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55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53" customHeight="1">
      <c r="A2" s="2" t="inlineStr">
        <is>
          <t>F1-F4</t>
        </is>
      </c>
      <c r="B2" s="2" t="inlineStr">
        <is>
          <t>ARCTIC P14 Max black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>
        <is>
          <t>Delivered revision,cable/connector dimensions,installed duty,guards and protection; quantities are proposals, verify kit/unit basis before quotation</t>
        </is>
      </c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53" customHeight="1">
      <c r="A3" s="3" t="inlineStr">
        <is>
          <t>FL1-FL2</t>
        </is>
      </c>
      <c r="B3" s="3" t="inlineStr">
        <is>
          <t>IKEA STARKVIND104.633.30 particle filters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Actual tolerances,frame,seals,clean/loaded resistance; OEM specifies STARKVIND use; quantities are proposals, verify kit/unit basis before quotation</t>
        </is>
      </c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53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>
        <is>
          <t>Actual startup/auxiliary demand,fault coordination,site suitability; quantities are proposals, verify kit/unit basis before quotation</t>
        </is>
      </c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53" customHeight="1">
      <c r="A5" s="3" t="inlineStr">
        <is>
          <t>H1</t>
        </is>
      </c>
      <c r="B5" s="3" t="inlineStr">
        <is>
          <t>Noctua NA-FH1 with supplied NA-EC1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>
        <is>
          <t>Actual connector fit,retained carrier,cable capacity,abnormal restart behaviour; quantities are proposals, verify kit/unit basis before quotation</t>
        </is>
      </c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53" customHeight="1">
      <c r="A6" s="2" t="inlineStr">
        <is>
          <t>SC1</t>
        </is>
      </c>
      <c r="B6" s="2" t="inlineStr">
        <is>
          <t>Noctua NA-FC1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>
        <is>
          <t>Actual mounting,connectors,heat; no live knob interface designed; quantities are proposals, verify kit/unit basis before quotation</t>
        </is>
      </c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68" customHeight="1">
      <c r="A7" s="3" t="inlineStr">
        <is>
          <t>EXT</t>
        </is>
      </c>
      <c r="B7" s="3" t="inlineStr">
        <is>
          <t>Noctua NA-EC1 from NA-SEC1 kit</t>
        </is>
      </c>
      <c r="C7" s="3" t="inlineStr">
        <is>
          <t>2 candidate extension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>
        <is>
          <t>Exact lead count and connector/gland fit pending;do not duplicate supplied hub lead; quantities are proposals, verify kit/unit basis before quotation</t>
        </is>
      </c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53" customHeight="1">
      <c r="A8" s="2" t="inlineStr">
        <is>
          <t>CTRL1</t>
        </is>
      </c>
      <c r="B8" s="2" t="inlineStr">
        <is>
          <t>Arduino Opta Lite AFX00003</t>
        </is>
      </c>
      <c r="C8" s="2" t="n">
        <v>1</v>
      </c>
      <c r="D8" s="2" t="inlineStr"/>
      <c r="E8" s="2" t="inlineStr"/>
      <c r="F8" s="2" t="inlineStr"/>
      <c r="G8" s="2" t="inlineStr"/>
      <c r="H8" s="2" t="inlineStr"/>
      <c r="I8" s="2" t="inlineStr"/>
      <c r="J8" s="2" t="inlineStr">
        <is>
          <t>Protective functions not implemented or validated; no upload/physical test; quantities are proposals, verify kit/unit basis before quotation</t>
        </is>
      </c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53" customHeight="1">
      <c r="A9" s="3" t="inlineStr">
        <is>
          <t>CB1</t>
        </is>
      </c>
      <c r="B9" s="3" t="inlineStr">
        <is>
          <t>Hammond1554XA2GY</t>
        </is>
      </c>
      <c r="C9" s="3" t="n">
        <v>1</v>
      </c>
      <c r="D9" s="3" t="inlineStr"/>
      <c r="E9" s="3" t="inlineStr"/>
      <c r="F9" s="3" t="inlineStr"/>
      <c r="G9" s="3" t="inlineStr"/>
      <c r="H9" s="3" t="inlineStr"/>
      <c r="I9" s="3" t="inlineStr"/>
      <c r="J9" s="3" t="inlineStr">
        <is>
          <t>Whole mounting,entries,thermal,modified ingress,protection and actual fit; quantities are proposals, verify kit/unit basis before quotation</t>
        </is>
      </c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53" customHeight="1">
      <c r="A10" s="2" t="inlineStr">
        <is>
          <t>PL1</t>
        </is>
      </c>
      <c r="B10" s="2" t="inlineStr">
        <is>
          <t>Hammond1554XPL</t>
        </is>
      </c>
      <c r="C10" s="2" t="n">
        <v>1</v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>
        <is>
          <t>Delivered thickness,edge contour,holes,fasteners,functional earth/metal treatment; quantities are proposals, verify kit/unit basis before quotation</t>
        </is>
      </c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68" customHeight="1">
      <c r="A11" s="3" t="inlineStr">
        <is>
          <t>DIN1</t>
        </is>
      </c>
      <c r="B11" s="3" t="inlineStr">
        <is>
          <t>35x7.5mm rail;Phoenix0801733 reference</t>
        </is>
      </c>
      <c r="C11" s="3" t="inlineStr">
        <is>
          <t>1 proposed125mm cut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>
        <is>
          <t>Obtain suitable cut piece;reference catalogue pack is not procurement quantity;attachment unapproved; quantities are proposals, verify kit/unit basis before quotation</t>
        </is>
      </c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53" customHeight="1">
      <c r="A12" s="2" t="inlineStr">
        <is>
          <t>PB_START</t>
        </is>
      </c>
      <c r="B12" s="2" t="inlineStr">
        <is>
          <t>Schneider ZB5AA3 green spring-return head</t>
        </is>
      </c>
      <c r="C12" s="2" t="n">
        <v>1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>
        <is>
          <t>Actual full stack,labels,torque,retention,sealing; quantities are proposals, verify kit/unit basis before quotation</t>
        </is>
      </c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53" customHeight="1">
      <c r="A13" s="3" t="inlineStr">
        <is>
          <t>PB_STOP</t>
        </is>
      </c>
      <c r="B13" s="3" t="inlineStr">
        <is>
          <t>Schneider ZB5AA4 red spring-return head</t>
        </is>
      </c>
      <c r="C13" s="3" t="n">
        <v>1</v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>
        <is>
          <t>Not emergency stop,isolation or protective restart; quantities are proposals, verify kit/unit basis before quotation</t>
        </is>
      </c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53" customHeight="1">
      <c r="A14" s="2" t="inlineStr">
        <is>
          <t>PB_RESET</t>
        </is>
      </c>
      <c r="B14" s="2" t="inlineStr">
        <is>
          <t>Schneider ZB5AA6 blue spring-return head</t>
        </is>
      </c>
      <c r="C14" s="2" t="n">
        <v>1</v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>
        <is>
          <t>Reset is not start or protective restart approval; quantities are proposals, verify kit/unit basis before quotation</t>
        </is>
      </c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53" customHeight="1">
      <c r="A15" s="3" t="inlineStr">
        <is>
          <t>PB_COLLAR</t>
        </is>
      </c>
      <c r="B15" s="3" t="inlineStr">
        <is>
          <t>Schneider ZB5AZ009 fixing collar</t>
        </is>
      </c>
      <c r="C15" s="3" t="n">
        <v>3</v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>
        <is>
          <t>Delivered mounting stack and required accessories; quantities are proposals, verify kit/unit basis before quotation</t>
        </is>
      </c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53" customHeight="1">
      <c r="A16" s="2" t="inlineStr">
        <is>
          <t>PB_NO</t>
        </is>
      </c>
      <c r="B16" s="2" t="inlineStr">
        <is>
          <t>Schneider ZBE1016 gold-flashed NO contact</t>
        </is>
      </c>
      <c r="C16" s="2" t="n">
        <v>2</v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>
        <is>
          <t>Numeric minimum switching range,actual terminal identifiers,branch protection; quantities are proposals, verify kit/unit basis before quotation</t>
        </is>
      </c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  <row r="17" ht="53" customHeight="1">
      <c r="A17" s="3" t="inlineStr">
        <is>
          <t>PB_NC</t>
        </is>
      </c>
      <c r="B17" s="3" t="inlineStr">
        <is>
          <t>Schneider ZBE1026 gold-flashed NC contact</t>
        </is>
      </c>
      <c r="C17" s="3" t="n">
        <v>1</v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>
        <is>
          <t>Numeric minimum switching range,actual terminal identifiers,branch protection; quantities are proposals, verify kit/unit basis before quotation</t>
        </is>
      </c>
      <c r="K17" s="3" t="inlineStr"/>
      <c r="L17" s="3" t="inlineStr">
        <is>
          <t>UNQUOTED / NOT ORDER AUTHORIZATION</t>
        </is>
      </c>
      <c r="M17" s="3">
        <f>IF(AND(ISNUMBER(C17),ISNUMBER(F17),ISNUMBER(G17),ISNUMBER(H17)),C17*F17+SUM(G17:H17),"UNQUOTED")</f>
        <v/>
      </c>
    </row>
    <row r="18" ht="68" customHeight="1">
      <c r="A18" s="2" t="inlineStr">
        <is>
          <t>PR1</t>
        </is>
      </c>
      <c r="B18" s="2" t="inlineStr">
        <is>
          <t>Independent protection and isolation</t>
        </is>
      </c>
      <c r="C18" s="2" t="inlineStr">
        <is>
          <t>1 functional assembly</t>
        </is>
      </c>
      <c r="D18" s="2" t="inlineStr"/>
      <c r="E18" s="2" t="inlineStr"/>
      <c r="F18" s="2" t="inlineStr"/>
      <c r="G18" s="2" t="inlineStr"/>
      <c r="H18" s="2" t="inlineStr"/>
      <c r="I18" s="2" t="inlineStr"/>
      <c r="J18" s="2" t="inlineStr">
        <is>
          <t>Rated circuit and hazard allocation;ordinary controls/Opta/hub fuse do not substitute; quantities are proposals, verify kit/unit basis before quotation</t>
        </is>
      </c>
      <c r="K18" s="2" t="inlineStr"/>
      <c r="L18" s="2" t="inlineStr">
        <is>
          <t>UNQUOTED / NOT ORDER AUTHORIZATION</t>
        </is>
      </c>
      <c r="M18" s="2">
        <f>IF(AND(ISNUMBER(C18),ISNUMBER(F18),ISNUMBER(G18),ISNUMBER(H18)),C18*F18+SUM(G18:H18),"UNQUOTED")</f>
        <v/>
      </c>
    </row>
    <row r="19" ht="68" customHeight="1">
      <c r="A19" s="3" t="inlineStr">
        <is>
          <t>FUSE</t>
        </is>
      </c>
      <c r="B19" s="3" t="inlineStr">
        <is>
          <t>DC fuse and compatible holder</t>
        </is>
      </c>
      <c r="C19" s="3" t="inlineStr">
        <is>
          <t>Quantity unknown</t>
        </is>
      </c>
      <c r="D19" s="3" t="inlineStr"/>
      <c r="E19" s="3" t="inlineStr"/>
      <c r="F19" s="3" t="inlineStr"/>
      <c r="G19" s="3" t="inlineStr"/>
      <c r="H19" s="3" t="inlineStr"/>
      <c r="I19" s="3" t="inlineStr"/>
      <c r="J19" s="3" t="inlineStr">
        <is>
          <t>Fault-time coordination,temperature,contacts and source startup;not a selected fuse; quantities are proposals, verify kit/unit basis before quotation</t>
        </is>
      </c>
      <c r="K19" s="3" t="inlineStr"/>
      <c r="L19" s="3" t="inlineStr">
        <is>
          <t>UNQUOTED / NOT ORDER AUTHORIZATION</t>
        </is>
      </c>
      <c r="M19" s="3">
        <f>IF(AND(ISNUMBER(C19),ISNUMBER(F19),ISNUMBER(G19),ISNUMBER(H19)),C19*F19+SUM(G19:H19),"UNQUOTED")</f>
        <v/>
      </c>
    </row>
    <row r="20" ht="53" customHeight="1">
      <c r="A20" s="2" t="inlineStr">
        <is>
          <t>TERM</t>
        </is>
      </c>
      <c r="B20" s="2" t="inlineStr">
        <is>
          <t>Terminals branch protection and wire system</t>
        </is>
      </c>
      <c r="C20" s="2" t="inlineStr">
        <is>
          <t>Quantity unknown</t>
        </is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>
        <is>
          <t>Sizes,current/fault/temperature ratings,OEM connectors and label schedule; quantities are proposals, verify kit/unit basis before quotation</t>
        </is>
      </c>
      <c r="K20" s="2" t="inlineStr"/>
      <c r="L20" s="2" t="inlineStr">
        <is>
          <t>UNQUOTED / NOT ORDER AUTHORIZATION</t>
        </is>
      </c>
      <c r="M20" s="2">
        <f>IF(AND(ISNUMBER(C20),ISNUMBER(F20),ISNUMBER(G20),ISNUMBER(H20)),C20*F20+SUM(G20:H20),"UNQUOTED")</f>
        <v/>
      </c>
    </row>
    <row r="21" ht="53" customHeight="1">
      <c r="A21" s="3" t="inlineStr">
        <is>
          <t>ENTRY</t>
        </is>
      </c>
      <c r="B21" s="3" t="inlineStr">
        <is>
          <t>Protected cable entries glands inserts and clamps</t>
        </is>
      </c>
      <c r="C21" s="3" t="inlineStr">
        <is>
          <t>Quantity unknown</t>
        </is>
      </c>
      <c r="D21" s="3" t="inlineStr"/>
      <c r="E21" s="3" t="inlineStr"/>
      <c r="F21" s="3" t="inlineStr"/>
      <c r="G21" s="3" t="inlineStr"/>
      <c r="H21" s="3" t="inlineStr"/>
      <c r="I21" s="3" t="inlineStr"/>
      <c r="J21" s="3" t="inlineStr">
        <is>
          <t>Insert size,lead bends,retention,feedthrough seal and guard interface; quantities are proposals, verify kit/unit basis before quotation</t>
        </is>
      </c>
      <c r="K21" s="3" t="inlineStr"/>
      <c r="L21" s="3" t="inlineStr">
        <is>
          <t>UNQUOTED / NOT ORDER AUTHORIZATION</t>
        </is>
      </c>
      <c r="M21" s="3">
        <f>IF(AND(ISNUMBER(C21),ISNUMBER(F21),ISNUMBER(G21),ISNUMBER(H21)),C21*F21+SUM(G21:H21),"UNQUOTED")</f>
        <v/>
      </c>
    </row>
    <row r="22" ht="53" customHeight="1">
      <c r="A22" s="2" t="inlineStr">
        <is>
          <t>MOUNT</t>
        </is>
      </c>
      <c r="B22" s="2" t="inlineStr">
        <is>
          <t>Control box retained mounting and component carriers</t>
        </is>
      </c>
      <c r="C22" s="2" t="inlineStr">
        <is>
          <t>1 mounting set</t>
        </is>
      </c>
      <c r="D22" s="2" t="inlineStr"/>
      <c r="E22" s="2" t="inlineStr"/>
      <c r="F22" s="2" t="inlineStr"/>
      <c r="G22" s="2" t="inlineStr"/>
      <c r="H22" s="2" t="inlineStr"/>
      <c r="I22" s="2" t="inlineStr"/>
      <c r="J22" s="2" t="inlineStr">
        <is>
          <t>Actual support hardware,box placement,tower attachment,service clearance; quantities are proposals, verify kit/unit basis before quotation</t>
        </is>
      </c>
      <c r="K22" s="2" t="inlineStr"/>
      <c r="L22" s="2" t="inlineStr">
        <is>
          <t>UNQUOTED / NOT ORDER AUTHORIZATION</t>
        </is>
      </c>
      <c r="M22" s="2">
        <f>IF(AND(ISNUMBER(C22),ISNUMBER(F22),ISNUMBER(G22),ISNUMBER(H22)),C22*F22+SUM(G22:H22),"UNQUOTED")</f>
        <v/>
      </c>
    </row>
    <row r="23" ht="53" customHeight="1">
      <c r="A23" s="3" t="inlineStr">
        <is>
          <t>CAB</t>
        </is>
      </c>
      <c r="B23" s="3" t="inlineStr">
        <is>
          <t>R03M493-object cabinet geometry</t>
        </is>
      </c>
      <c r="C23" s="3" t="inlineStr">
        <is>
          <t>1 assembly</t>
        </is>
      </c>
      <c r="D23" s="3" t="inlineStr"/>
      <c r="E23" s="3" t="inlineStr"/>
      <c r="F23" s="3" t="inlineStr"/>
      <c r="G23" s="3" t="inlineStr"/>
      <c r="H23" s="3" t="inlineStr"/>
      <c r="I23" s="3" t="inlineStr"/>
      <c r="J23" s="3" t="inlineStr">
        <is>
          <t>Material grade,joint strength,whole mass/CG,stability; quantities are proposals, verify kit/unit basis before quotation</t>
        </is>
      </c>
      <c r="K23" s="3" t="inlineStr"/>
      <c r="L23" s="3" t="inlineStr">
        <is>
          <t>UNQUOTED / NOT ORDER AUTHORIZATION</t>
        </is>
      </c>
      <c r="M23" s="3">
        <f>IF(AND(ISNUMBER(C23),ISNUMBER(F23),ISNUMBER(G23),ISNUMBER(H23)),C23*F23+SUM(G23:H23),"UNQUOTED")</f>
        <v/>
      </c>
    </row>
    <row r="24" ht="53" customHeight="1">
      <c r="A24" s="2" t="inlineStr">
        <is>
          <t>GUARD</t>
        </is>
      </c>
      <c r="B24" s="2" t="inlineStr">
        <is>
          <t>R03M perforated guards</t>
        </is>
      </c>
      <c r="C24" s="2" t="inlineStr">
        <is>
          <t>2 assemblies</t>
        </is>
      </c>
      <c r="D24" s="2" t="inlineStr"/>
      <c r="E24" s="2" t="inlineStr"/>
      <c r="F24" s="2" t="inlineStr"/>
      <c r="G24" s="2" t="inlineStr"/>
      <c r="H24" s="2" t="inlineStr"/>
      <c r="I24" s="2" t="inlineStr"/>
      <c r="J24" s="2" t="inlineStr">
        <is>
          <t>Perforated strength,reach,side seam and attachment criteria; quantities are proposals, verify kit/unit basis before quotation</t>
        </is>
      </c>
      <c r="K24" s="2" t="inlineStr"/>
      <c r="L24" s="2" t="inlineStr">
        <is>
          <t>UNQUOTED / NOT ORDER AUTHORIZATION</t>
        </is>
      </c>
      <c r="M24" s="2">
        <f>IF(AND(ISNUMBER(C24),ISNUMBER(F24),ISNUMBER(G24),ISNUMBER(H24)),C24*F24+SUM(G24:H24),"UNQUOTED")</f>
        <v/>
      </c>
    </row>
    <row r="25" ht="53" customHeight="1">
      <c r="A25" s="3" t="inlineStr">
        <is>
          <t>FIX</t>
        </is>
      </c>
      <c r="B25" s="3" t="inlineStr">
        <is>
          <t>R03M fasteners and compression limiters</t>
        </is>
      </c>
      <c r="C25" s="3" t="inlineStr">
        <is>
          <t>One scheduled set</t>
        </is>
      </c>
      <c r="D25" s="3" t="inlineStr"/>
      <c r="E25" s="3" t="inlineStr"/>
      <c r="F25" s="3" t="inlineStr"/>
      <c r="G25" s="3" t="inlineStr"/>
      <c r="H25" s="3" t="inlineStr"/>
      <c r="I25" s="3" t="inlineStr"/>
      <c r="J25" s="3" t="inlineStr">
        <is>
          <t>Actual grades,torques,bearing,withdrawal and tolerances; quantities are proposals, verify kit/unit basis before quotation</t>
        </is>
      </c>
      <c r="K25" s="3" t="inlineStr"/>
      <c r="L25" s="3" t="inlineStr">
        <is>
          <t>UNQUOTED / NOT ORDER AUTHORIZATION</t>
        </is>
      </c>
      <c r="M25" s="3">
        <f>IF(AND(ISNUMBER(C25),ISNUMBER(F25),ISNUMBER(G25),ISNUMBER(H25)),C25*F25+SUM(G25:H25),"UNQUOTED")</f>
        <v/>
      </c>
    </row>
    <row r="26" ht="53" customHeight="1">
      <c r="A26" s="2" t="inlineStr">
        <is>
          <t>SEAL</t>
        </is>
      </c>
      <c r="B26" s="2" t="inlineStr">
        <is>
          <t>Filter fan and penetration gaskets</t>
        </is>
      </c>
      <c r="C26" s="2" t="inlineStr">
        <is>
          <t>One design set</t>
        </is>
      </c>
      <c r="D26" s="2" t="inlineStr"/>
      <c r="E26" s="2" t="inlineStr"/>
      <c r="F26" s="2" t="inlineStr"/>
      <c r="G26" s="2" t="inlineStr"/>
      <c r="H26" s="2" t="inlineStr"/>
      <c r="I26" s="2" t="inlineStr"/>
      <c r="J26" s="2" t="inlineStr">
        <is>
          <t>Force-compression curves,flatness,tolerances,bypass and closure loads; quantities are proposals, verify kit/unit basis before quotation</t>
        </is>
      </c>
      <c r="K26" s="2" t="inlineStr"/>
      <c r="L26" s="2" t="inlineStr">
        <is>
          <t>UNQUOTED / NOT ORDER AUTHORIZATION</t>
        </is>
      </c>
      <c r="M26" s="2">
        <f>IF(AND(ISNUMBER(C26),ISNUMBER(F26),ISNUMBER(G26),ISNUMBER(H26)),C26*F26+SUM(G26:H26),"UNQUOTED")</f>
        <v/>
      </c>
    </row>
    <row r="27" ht="53" customHeight="1">
      <c r="A27" s="3" t="inlineStr">
        <is>
          <t>FEET</t>
        </is>
      </c>
      <c r="B27" s="3" t="inlineStr">
        <is>
          <t>R03M retained feet</t>
        </is>
      </c>
      <c r="C27" s="3" t="n">
        <v>4</v>
      </c>
      <c r="D27" s="3" t="inlineStr"/>
      <c r="E27" s="3" t="inlineStr"/>
      <c r="F27" s="3" t="inlineStr"/>
      <c r="G27" s="3" t="inlineStr"/>
      <c r="H27" s="3" t="inlineStr"/>
      <c r="I27" s="3" t="inlineStr"/>
      <c r="J27" s="3" t="inlineStr">
        <is>
          <t>Material,retention,bearing,complete stability and cable-pull evidence; quantities are proposals, verify kit/unit basis before quotation</t>
        </is>
      </c>
      <c r="K27" s="3" t="inlineStr"/>
      <c r="L27" s="3" t="inlineStr">
        <is>
          <t>UNQUOTED / NOT ORDER AUTHORIZATION</t>
        </is>
      </c>
      <c r="M27" s="3">
        <f>IF(AND(ISNUMBER(C27),ISNUMBER(F27),ISNUMBER(G27),ISNUMBER(H27)),C27*F27+SUM(G27:H27),"UNQUOTED")</f>
        <v/>
      </c>
    </row>
    <row r="28" ht="53" customHeight="1">
      <c r="A28" s="2" t="inlineStr">
        <is>
          <t>TEST</t>
        </is>
      </c>
      <c r="B28" s="2" t="inlineStr">
        <is>
          <t>Calibrated airflow pressure power noise PM tests</t>
        </is>
      </c>
      <c r="C28" s="2" t="inlineStr">
        <is>
          <t>One service scope</t>
        </is>
      </c>
      <c r="D28" s="2" t="inlineStr"/>
      <c r="E28" s="2" t="inlineStr"/>
      <c r="F28" s="2" t="inlineStr"/>
      <c r="G28" s="2" t="inlineStr"/>
      <c r="H28" s="2" t="inlineStr"/>
      <c r="I28" s="2" t="inlineStr"/>
      <c r="J28" s="2" t="inlineStr">
        <is>
          <t>Exact methods,instruments,room and acceptance thresholds; quantities are proposals, verify kit/unit basis before quotation</t>
        </is>
      </c>
      <c r="K28" s="2" t="inlineStr"/>
      <c r="L28" s="2" t="inlineStr">
        <is>
          <t>UNQUOTED / NOT ORDER AUTHORIZATION</t>
        </is>
      </c>
      <c r="M28" s="2">
        <f>IF(AND(ISNUMBER(C28),ISNUMBER(F28),ISNUMBER(G28),ISNUMBER(H28)),C28*F28+SUM(G28:H28),"UNQUOTED")</f>
        <v/>
      </c>
    </row>
    <row r="29" ht="53" customHeight="1">
      <c r="A29" s="3" t="inlineStr">
        <is>
          <t>BUILD</t>
        </is>
      </c>
      <c r="B29" s="3" t="inlineStr">
        <is>
          <t>Qualified fabrication assembly and commissioning</t>
        </is>
      </c>
      <c r="C29" s="3" t="inlineStr">
        <is>
          <t>One service scope</t>
        </is>
      </c>
      <c r="D29" s="3" t="inlineStr"/>
      <c r="E29" s="3" t="inlineStr"/>
      <c r="F29" s="3" t="inlineStr"/>
      <c r="G29" s="3" t="inlineStr"/>
      <c r="H29" s="3" t="inlineStr"/>
      <c r="I29" s="3" t="inlineStr"/>
      <c r="J29" s="3" t="inlineStr">
        <is>
          <t>Real quotes,review scope,procurement authorization and signed physical results; quantities are proposals, verify kit/unit basis before quotation</t>
        </is>
      </c>
      <c r="K29" s="3" t="inlineStr"/>
      <c r="L29" s="3" t="inlineStr">
        <is>
          <t>UNQUOTED / NOT ORDER AUTHORIZATION</t>
        </is>
      </c>
      <c r="M29" s="3">
        <f>IF(AND(ISNUMBER(C29),ISNUMBER(F29),ISNUMBER(G29),ISNUMBER(H29)),C29*F29+SUM(G29:H29),"UNQUOTED")</f>
        <v/>
      </c>
    </row>
  </sheetData>
  <autoFilter ref="A1:M29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2026-10-04T23:26:17Z</dcterms:created>
  <dcterms:modified xmlns:dcterms="http://purl.org/dc/terms/" xmlns:xsi="http://www.w3.org/2001/XMLSchema-instance" xsi:type="dcterms:W3CDTF">2026-10-04T23:26:17Z</dcterms:modified>
</cp:coreProperties>
</file>