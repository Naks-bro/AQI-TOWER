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Room scenarios" sheetId="4" state="visible" r:id="rId4"/>
    <sheet xmlns:r="http://schemas.openxmlformats.org/officeDocument/2006/relationships" name="Funding quotes" sheetId="5" state="visible" r:id="rId5"/>
  </sheets>
  <definedNames>
    <definedName name="_xlnm._FilterDatabase" localSheetId="0" hidden="1">'Read me'!$A$1:$B$6</definedName>
    <definedName name="_xlnm.Print_Titles" localSheetId="0">'Read me'!$1:$1</definedName>
    <definedName name="_xlnm._FilterDatabase" localSheetId="1" hidden="1">'Milestones'!$A$1:$D$6</definedName>
    <definedName name="_xlnm.Print_Titles" localSheetId="1">'Milestones'!$1:$1</definedName>
    <definedName name="_xlnm._FilterDatabase" localSheetId="2" hidden="1">'Claims'!$A$1:$C$6</definedName>
    <definedName name="_xlnm.Print_Titles" localSheetId="2">'Claims'!$1:$1</definedName>
    <definedName name="_xlnm._FilterDatabase" localSheetId="3" hidden="1">'Room scenarios'!$A$1:$H$5</definedName>
    <definedName name="_xlnm.Print_Titles" localSheetId="3">'Room scenarios'!$1:$1</definedName>
    <definedName name="_xlnm._FilterDatabase" localSheetId="4" hidden="1">'Funding quotes'!$A$1:$M$16</definedName>
    <definedName name="_xlnm.Print_Titles" localSheetId="4">'Funding quotes'!$1:$1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4B58"/>
      </patternFill>
    </fill>
    <fill>
      <patternFill patternType="solid">
        <fgColor rgb="00EE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0" fillId="3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Meaning</t>
        </is>
      </c>
    </row>
    <row r="2" ht="36" customHeight="1">
      <c r="A2" s="2" t="inlineStr">
        <is>
          <t>Revision</t>
        </is>
      </c>
      <c r="B2" s="2" t="inlineStr">
        <is>
          <t>D01 R03M / IH02 / 5 October 2026</t>
        </is>
      </c>
    </row>
    <row r="3" ht="38" customHeight="1">
      <c r="A3" s="3" t="inlineStr">
        <is>
          <t>Status</t>
        </is>
      </c>
      <c r="B3" s="3" t="inlineStr">
        <is>
          <t>Review only. Not order, fabrication or energization authorization.</t>
        </is>
      </c>
    </row>
    <row r="4" ht="38" customHeight="1">
      <c r="A4" s="2" t="inlineStr">
        <is>
          <t>Prices</t>
        </is>
      </c>
      <c r="B4" s="2" t="inlineStr">
        <is>
          <t>Blank means UNKNOWN; no prices have been invented.</t>
        </is>
      </c>
    </row>
    <row r="5" ht="36" customHeight="1">
      <c r="A5" s="3" t="inlineStr">
        <is>
          <t>Evidence</t>
        </is>
      </c>
      <c r="B5" s="3" t="inlineStr">
        <is>
          <t>CAD/digital checks are not physical results.</t>
        </is>
      </c>
    </row>
    <row r="6" ht="38" customHeight="1">
      <c r="A6" s="2" t="inlineStr">
        <is>
          <t>Team</t>
        </is>
      </c>
      <c r="B6" s="2" t="inlineStr">
        <is>
          <t>College/NGO funding; no college lab assumed; qualified physical services still needed.</t>
        </is>
      </c>
    </row>
  </sheetData>
  <autoFilter ref="A1:B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.5" customWidth="1" min="3" max="3"/>
    <col width="26" customWidth="1" min="4" max="4"/>
  </cols>
  <sheetData>
    <row r="1">
      <c r="A1" s="1" t="inlineStr">
        <is>
          <t>Milestone</t>
        </is>
      </c>
      <c r="B1" s="1" t="inlineStr">
        <is>
          <t>Current state</t>
        </is>
      </c>
      <c r="C1" s="1" t="inlineStr">
        <is>
          <t>Evidence needed</t>
        </is>
      </c>
      <c r="D1" s="1" t="inlineStr">
        <is>
          <t>Timing</t>
        </is>
      </c>
    </row>
    <row r="2" ht="38" customHeight="1">
      <c r="A2" s="2" t="inlineStr">
        <is>
          <t>Engineering review</t>
        </is>
      </c>
      <c r="B2" s="2" t="inlineStr">
        <is>
          <t>Open</t>
        </is>
      </c>
      <c r="C2" s="2" t="inlineStr">
        <is>
          <t>Named mechanical/electrical decisions and linked evidence</t>
        </is>
      </c>
      <c r="D2" s="2" t="inlineStr">
        <is>
          <t>Dependent on reviewers and OEM inputs</t>
        </is>
      </c>
    </row>
    <row r="3" ht="38" customHeight="1">
      <c r="A3" s="3" t="inlineStr">
        <is>
          <t>Construction release</t>
        </is>
      </c>
      <c r="B3" s="3" t="inlineStr">
        <is>
          <t>Not released</t>
        </is>
      </c>
      <c r="C3" s="3" t="inlineStr">
        <is>
          <t>Frozen components, drawings and electrical schedule</t>
        </is>
      </c>
      <c r="D3" s="3" t="inlineStr">
        <is>
          <t>After review</t>
        </is>
      </c>
    </row>
    <row r="4" ht="38" customHeight="1">
      <c r="A4" s="2" t="inlineStr">
        <is>
          <t>First safe run</t>
        </is>
      </c>
      <c r="B4" s="2" t="inlineStr">
        <is>
          <t>Not done</t>
        </is>
      </c>
      <c r="C4" s="2" t="inlineStr">
        <is>
          <t>Signed inspection/commissioning and measured airflow/pressure</t>
        </is>
      </c>
      <c r="D4" s="2" t="inlineStr">
        <is>
          <t>After delivery, fabrication and assembly</t>
        </is>
      </c>
    </row>
    <row r="5" ht="38" customHeight="1">
      <c r="A5" s="3" t="inlineStr">
        <is>
          <t>Indoor performance</t>
        </is>
      </c>
      <c r="B5" s="3" t="inlineStr">
        <is>
          <t>Not done</t>
        </is>
      </c>
      <c r="C5" s="3" t="inlineStr">
        <is>
          <t>Controlled repeated trials and raw logs</t>
        </is>
      </c>
      <c r="D5" s="3" t="inlineStr">
        <is>
          <t>After safe run</t>
        </is>
      </c>
    </row>
    <row r="6" ht="38" customHeight="1">
      <c r="A6" s="2" t="inlineStr">
        <is>
          <t>Outdoor pilot</t>
        </is>
      </c>
      <c r="B6" s="2" t="inlineStr">
        <is>
          <t>Separate future scope</t>
        </is>
      </c>
      <c r="C6" s="2" t="inlineStr">
        <is>
          <t>Site permission, weather/public-safety design and wind-dependent tests</t>
        </is>
      </c>
      <c r="D6" s="2" t="inlineStr">
        <is>
          <t>Not scheduled</t>
        </is>
      </c>
    </row>
  </sheetData>
  <autoFilter ref="A1:D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.8" customWidth="1" min="3" max="3"/>
  </cols>
  <sheetData>
    <row r="1">
      <c r="A1" s="1" t="inlineStr">
        <is>
          <t>Claim</t>
        </is>
      </c>
      <c r="B1" s="1" t="inlineStr">
        <is>
          <t>Evidence status</t>
        </is>
      </c>
      <c r="C1" s="1" t="inlineStr">
        <is>
          <t>Permitted wording</t>
        </is>
      </c>
    </row>
    <row r="2" ht="38" customHeight="1">
      <c r="A2" s="2" t="inlineStr">
        <is>
          <t>Physical prototype</t>
        </is>
      </c>
      <c r="B2" s="2" t="inlineStr">
        <is>
          <t>0 built</t>
        </is>
      </c>
      <c r="C2" s="2" t="inlineStr">
        <is>
          <t>We have prepared the digital design for review.</t>
        </is>
      </c>
    </row>
    <row r="3" ht="38" customHeight="1">
      <c r="A3" s="3" t="inlineStr">
        <is>
          <t>Flow and cleaning</t>
        </is>
      </c>
      <c r="B3" s="3" t="inlineStr">
        <is>
          <t>Unmeasured</t>
        </is>
      </c>
      <c r="C3" s="3" t="inlineStr">
        <is>
          <t>The calculations are conditional; tests are planned.</t>
        </is>
      </c>
    </row>
    <row r="4" ht="38" customHeight="1">
      <c r="A4" s="2" t="inlineStr">
        <is>
          <t>Outdoor bubble</t>
        </is>
      </c>
      <c r="B4" s="2" t="inlineStr">
        <is>
          <t>Unproven</t>
        </is>
      </c>
      <c r="C4" s="2" t="inlineStr">
        <is>
          <t>The chain of zones is a research concept.</t>
        </is>
      </c>
    </row>
    <row r="5" ht="38" customHeight="1">
      <c r="A5" s="3" t="inlineStr">
        <is>
          <t>Costs and stock</t>
        </is>
      </c>
      <c r="B5" s="3" t="inlineStr">
        <is>
          <t>Unquoted</t>
        </is>
      </c>
      <c r="C5" s="3" t="inlineStr">
        <is>
          <t>Funding will be based on verified quotes.</t>
        </is>
      </c>
    </row>
    <row r="6" ht="36" customHeight="1">
      <c r="A6" s="2" t="inlineStr">
        <is>
          <t>Final name</t>
        </is>
      </c>
      <c r="B6" s="2" t="inlineStr">
        <is>
          <t>Not selected</t>
        </is>
      </c>
      <c r="C6" s="2" t="inlineStr">
        <is>
          <t>AQI Tower is the working name.</t>
        </is>
      </c>
    </row>
  </sheetData>
  <autoFilter ref="A1:C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95" customWidth="1" min="4" max="4"/>
    <col width="55" customWidth="1" min="5" max="5"/>
    <col width="55" customWidth="1" min="6" max="6"/>
    <col width="55" customWidth="1" min="7" max="7"/>
    <col width="25.35" customWidth="1" min="8" max="8"/>
  </cols>
  <sheetData>
    <row r="1">
      <c r="A1" s="1" t="inlineStr">
        <is>
          <t>ASSUMED area m2</t>
        </is>
      </c>
      <c r="B1" s="1" t="inlineStr">
        <is>
          <t>ASSUMED height m</t>
        </is>
      </c>
      <c r="C1" s="1" t="inlineStr">
        <is>
          <t>ASSUMED CADR m3/h</t>
        </is>
      </c>
      <c r="D1" s="1" t="inlineStr">
        <is>
          <t>Target fraction reduced</t>
        </is>
      </c>
      <c r="E1" s="1" t="inlineStr">
        <is>
          <t>Volume m3</t>
        </is>
      </c>
      <c r="F1" s="1" t="inlineStr">
        <is>
          <t>Ideal target minutes</t>
        </is>
      </c>
      <c r="G1" s="1" t="inlineStr">
        <is>
          <t>Required CADR for30 min</t>
        </is>
      </c>
      <c r="H1" s="1" t="inlineStr">
        <is>
          <t>Status</t>
        </is>
      </c>
    </row>
    <row r="2" ht="68" customHeight="1">
      <c r="A2" s="2" t="n">
        <v>10</v>
      </c>
      <c r="B2" s="2" t="n">
        <v>2.8</v>
      </c>
      <c r="C2" s="2" t="n">
        <v>150</v>
      </c>
      <c r="D2" s="4" t="n">
        <v>0.9</v>
      </c>
      <c r="E2" s="2">
        <f>IF(AND(ISNUMBER(A2),A2&gt;0,ISNUMBER(B2),B2&gt;0,ISNUMBER(C2),C2&gt;=0,ISNUMBER(D2),D2&gt;0,D2&lt;1),A2*B2,"INVALID INPUT")</f>
        <v/>
      </c>
      <c r="F2" s="2">
        <f>IF(AND(ISNUMBER(A2),A2&gt;0,ISNUMBER(B2),B2&gt;0,ISNUMBER(C2),C2&gt;=0,ISNUMBER(D2),D2&gt;0,D2&lt;1),IF(C2&gt;0,-60*E2*LN(1-D2)/C2,"NO MODELED CLEANING"),"INVALID INPUT")</f>
        <v/>
      </c>
      <c r="G2" s="2">
        <f>IF(AND(ISNUMBER(A2),A2&gt;0,ISNUMBER(B2),B2&gt;0,ISNUMBER(C2),C2&gt;=0,ISNUMBER(D2),D2&gt;0,D2&lt;1),-2*E2*LN(1-D2),"INVALID INPUT")</f>
        <v/>
      </c>
      <c r="H2" s="2" t="inlineStr">
        <is>
          <t>Illustrative only; no measured D01 CADR</t>
        </is>
      </c>
    </row>
    <row r="3" ht="68" customHeight="1">
      <c r="A3" s="3" t="n">
        <v>25</v>
      </c>
      <c r="B3" s="3" t="n">
        <v>2.8</v>
      </c>
      <c r="C3" s="3" t="n">
        <v>150</v>
      </c>
      <c r="D3" s="5" t="n">
        <v>0.9</v>
      </c>
      <c r="E3" s="3">
        <f>IF(AND(ISNUMBER(A3),A3&gt;0,ISNUMBER(B3),B3&gt;0,ISNUMBER(C3),C3&gt;=0,ISNUMBER(D3),D3&gt;0,D3&lt;1),A3*B3,"INVALID INPUT")</f>
        <v/>
      </c>
      <c r="F3" s="3">
        <f>IF(AND(ISNUMBER(A3),A3&gt;0,ISNUMBER(B3),B3&gt;0,ISNUMBER(C3),C3&gt;=0,ISNUMBER(D3),D3&gt;0,D3&lt;1),IF(C3&gt;0,-60*E3*LN(1-D3)/C3,"NO MODELED CLEANING"),"INVALID INPUT")</f>
        <v/>
      </c>
      <c r="G3" s="3">
        <f>IF(AND(ISNUMBER(A3),A3&gt;0,ISNUMBER(B3),B3&gt;0,ISNUMBER(C3),C3&gt;=0,ISNUMBER(D3),D3&gt;0,D3&lt;1),-2*E3*LN(1-D3),"INVALID INPUT")</f>
        <v/>
      </c>
      <c r="H3" s="3" t="inlineStr">
        <is>
          <t>Illustrative only; no measured D01 CADR</t>
        </is>
      </c>
    </row>
    <row r="4" ht="68" customHeight="1">
      <c r="A4" s="2" t="n">
        <v>50</v>
      </c>
      <c r="B4" s="2" t="n">
        <v>2.8</v>
      </c>
      <c r="C4" s="2" t="n">
        <v>150</v>
      </c>
      <c r="D4" s="4" t="n">
        <v>0.9</v>
      </c>
      <c r="E4" s="2">
        <f>IF(AND(ISNUMBER(A4),A4&gt;0,ISNUMBER(B4),B4&gt;0,ISNUMBER(C4),C4&gt;=0,ISNUMBER(D4),D4&gt;0,D4&lt;1),A4*B4,"INVALID INPUT")</f>
        <v/>
      </c>
      <c r="F4" s="2">
        <f>IF(AND(ISNUMBER(A4),A4&gt;0,ISNUMBER(B4),B4&gt;0,ISNUMBER(C4),C4&gt;=0,ISNUMBER(D4),D4&gt;0,D4&lt;1),IF(C4&gt;0,-60*E4*LN(1-D4)/C4,"NO MODELED CLEANING"),"INVALID INPUT")</f>
        <v/>
      </c>
      <c r="G4" s="2">
        <f>IF(AND(ISNUMBER(A4),A4&gt;0,ISNUMBER(B4),B4&gt;0,ISNUMBER(C4),C4&gt;=0,ISNUMBER(D4),D4&gt;0,D4&lt;1),-2*E4*LN(1-D4),"INVALID INPUT")</f>
        <v/>
      </c>
      <c r="H4" s="2" t="inlineStr">
        <is>
          <t>Illustrative only; no measured D01 CADR</t>
        </is>
      </c>
    </row>
    <row r="5" ht="68" customHeight="1">
      <c r="A5" s="3" t="n">
        <v>100</v>
      </c>
      <c r="B5" s="3" t="n">
        <v>2.8</v>
      </c>
      <c r="C5" s="3" t="n">
        <v>150</v>
      </c>
      <c r="D5" s="5" t="n">
        <v>0.9</v>
      </c>
      <c r="E5" s="3">
        <f>IF(AND(ISNUMBER(A5),A5&gt;0,ISNUMBER(B5),B5&gt;0,ISNUMBER(C5),C5&gt;=0,ISNUMBER(D5),D5&gt;0,D5&lt;1),A5*B5,"INVALID INPUT")</f>
        <v/>
      </c>
      <c r="F5" s="3">
        <f>IF(AND(ISNUMBER(A5),A5&gt;0,ISNUMBER(B5),B5&gt;0,ISNUMBER(C5),C5&gt;=0,ISNUMBER(D5),D5&gt;0,D5&lt;1),IF(C5&gt;0,-60*E5*LN(1-D5)/C5,"NO MODELED CLEANING"),"INVALID INPUT")</f>
        <v/>
      </c>
      <c r="G5" s="3">
        <f>IF(AND(ISNUMBER(A5),A5&gt;0,ISNUMBER(B5),B5&gt;0,ISNUMBER(C5),C5&gt;=0,ISNUMBER(D5),D5&gt;0,D5&lt;1),-2*E5*LN(1-D5),"INVALID INPUT")</f>
        <v/>
      </c>
      <c r="H5" s="3" t="inlineStr">
        <is>
          <t>Illustrative only; no measured D01 CADR</t>
        </is>
      </c>
    </row>
  </sheetData>
  <autoFilter ref="A1:H5"/>
  <dataValidations count="4">
    <dataValidation sqref="A2:A5" showDropDown="0" showInputMessage="0" showErrorMessage="1" allowBlank="0" errorTitle="Invalid scenario" error="Use a positive area/height, nonnegative CADR, and a reduction fraction strictly between0 and1." type="decimal" errorStyle="stop" operator="between">
      <formula1>0.1</formula1>
      <formula2>10000</formula2>
    </dataValidation>
    <dataValidation sqref="B2:B5" showDropDown="0" showInputMessage="0" showErrorMessage="1" allowBlank="0" errorTitle="Invalid scenario" error="Use a positive area/height, nonnegative CADR, and a reduction fraction strictly between0 and1." type="decimal" errorStyle="stop" operator="between">
      <formula1>0.1</formula1>
      <formula2>100</formula2>
    </dataValidation>
    <dataValidation sqref="C2:C5" showDropDown="0" showInputMessage="0" showErrorMessage="1" allowBlank="0" errorTitle="Invalid scenario" error="Use a positive area/height, nonnegative CADR, and a reduction fraction strictly between0 and1." type="decimal" errorStyle="stop" operator="between">
      <formula1>0</formula1>
      <formula2>100000</formula2>
    </dataValidation>
    <dataValidation sqref="D2:D5" showDropDown="0" showInputMessage="0" showErrorMessage="1" allowBlank="0" errorTitle="Invalid scenario" error="Use a positive area/height, nonnegative CADR, and a reduction fraction strictly between0 and1." type="decimal" errorStyle="stop" operator="between">
      <formula1>1e-06</formula1>
      <formula2>0.999999</formula2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.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1" customWidth="1" min="12" max="12"/>
    <col width="55" customWidth="1" min="13" max="13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Quantity_basis</t>
        </is>
      </c>
      <c r="D1" s="1" t="inlineStr">
        <is>
          <t>Vendor_or_service</t>
        </is>
      </c>
      <c r="E1" s="1" t="inlineStr">
        <is>
          <t>Quote_date</t>
        </is>
      </c>
      <c r="F1" s="1" t="inlineStr">
        <is>
          <t>Unit_cost_INR</t>
        </is>
      </c>
      <c r="G1" s="1" t="inlineStr">
        <is>
          <t>Tax_INR</t>
        </is>
      </c>
      <c r="H1" s="1" t="inlineStr">
        <is>
          <t>Delivery_INR</t>
        </is>
      </c>
      <c r="I1" s="1" t="inlineStr">
        <is>
          <t>Lead_time</t>
        </is>
      </c>
      <c r="J1" s="1" t="inlineStr">
        <is>
          <t>Scope_and_exclusions</t>
        </is>
      </c>
      <c r="K1" s="1" t="inlineStr">
        <is>
          <t>Release_ID</t>
        </is>
      </c>
      <c r="L1" s="1" t="inlineStr">
        <is>
          <t>Approval</t>
        </is>
      </c>
      <c r="M1" s="1" t="inlineStr">
        <is>
          <t>Quoted_line_total_INR</t>
        </is>
      </c>
    </row>
    <row r="2" ht="38" customHeight="1">
      <c r="A2" s="2" t="inlineStr">
        <is>
          <t>F1-F4</t>
        </is>
      </c>
      <c r="B2" s="2" t="inlineStr">
        <is>
          <t>ARCTIC P14 Max ACFAN00287A</t>
        </is>
      </c>
      <c r="C2" s="2" t="n">
        <v>4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UNQUOTED / NOT ORDER AUTHORIZATION</t>
        </is>
      </c>
      <c r="M2" s="2">
        <f>IF(AND(ISNUMBER(C2),ISNUMBER(F2),ISNUMBER(G2),ISNUMBER(H2)),C2*F2+SUM(G2:H2),"UNQUOTED")</f>
        <v/>
      </c>
    </row>
    <row r="3" ht="38" customHeight="1">
      <c r="A3" s="3" t="inlineStr">
        <is>
          <t>FL1-FL2</t>
        </is>
      </c>
      <c r="B3" s="3" t="inlineStr">
        <is>
          <t>IKEA STARKVIND104.633.30 particle filter</t>
        </is>
      </c>
      <c r="C3" s="3" t="n">
        <v>2</v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UNQUOTED / NOT ORDER AUTHORIZATION</t>
        </is>
      </c>
      <c r="M3" s="3">
        <f>IF(AND(ISNUMBER(C3),ISNUMBER(F3),ISNUMBER(G3),ISNUMBER(H3)),C3*F3+SUM(G3:H3),"UNQUOTED")</f>
        <v/>
      </c>
    </row>
    <row r="4" ht="38" customHeight="1">
      <c r="A4" s="2" t="inlineStr">
        <is>
          <t>PS1</t>
        </is>
      </c>
      <c r="B4" s="2" t="inlineStr">
        <is>
          <t>Noctua NV-PS1 with NA-AC10</t>
        </is>
      </c>
      <c r="C4" s="2" t="n">
        <v>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UNQUOTED / NOT ORDER AUTHORIZATION</t>
        </is>
      </c>
      <c r="M4" s="2">
        <f>IF(AND(ISNUMBER(C4),ISNUMBER(F4),ISNUMBER(G4),ISNUMBER(H4)),C4*F4+SUM(G4:H4),"UNQUOTED")</f>
        <v/>
      </c>
    </row>
    <row r="5" ht="38" customHeight="1">
      <c r="A5" s="3" t="inlineStr">
        <is>
          <t>SC1</t>
        </is>
      </c>
      <c r="B5" s="3" t="inlineStr">
        <is>
          <t>Noctua NA-FC1</t>
        </is>
      </c>
      <c r="C5" s="3" t="n">
        <v>1</v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UNQUOTED / NOT ORDER AUTHORIZATION</t>
        </is>
      </c>
      <c r="M5" s="3">
        <f>IF(AND(ISNUMBER(C5),ISNUMBER(F5),ISNUMBER(G5),ISNUMBER(H5)),C5*F5+SUM(G5:H5),"UNQUOTED")</f>
        <v/>
      </c>
    </row>
    <row r="6" ht="38" customHeight="1">
      <c r="A6" s="2" t="inlineStr">
        <is>
          <t>H1</t>
        </is>
      </c>
      <c r="B6" s="2" t="inlineStr">
        <is>
          <t>Noctua NA-FH1 with NA-EC1</t>
        </is>
      </c>
      <c r="C6" s="2" t="n">
        <v>1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UNQUOTED / NOT ORDER AUTHORIZATION</t>
        </is>
      </c>
      <c r="M6" s="2">
        <f>IF(AND(ISNUMBER(C6),ISNUMBER(F6),ISNUMBER(G6),ISNUMBER(H6)),C6*F6+SUM(G6:H6),"UNQUOTED")</f>
        <v/>
      </c>
    </row>
    <row r="7" ht="38" customHeight="1">
      <c r="A7" s="3" t="inlineStr">
        <is>
          <t>EXT</t>
        </is>
      </c>
      <c r="B7" s="3" t="inlineStr">
        <is>
          <t>NA-EC1 300mm from NA-SEC1 kit</t>
        </is>
      </c>
      <c r="C7" s="3" t="inlineStr">
        <is>
          <t>2 candidate leads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UNQUOTED / NOT ORDER AUTHORIZATION</t>
        </is>
      </c>
      <c r="M7" s="3">
        <f>IF(AND(ISNUMBER(C7),ISNUMBER(F7),ISNUMBER(G7),ISNUMBER(H7)),C7*F7+SUM(G7:H7),"UNQUOTED")</f>
        <v/>
      </c>
    </row>
    <row r="8" ht="38" customHeight="1">
      <c r="A8" s="2" t="inlineStr">
        <is>
          <t>CAB</t>
        </is>
      </c>
      <c r="B8" s="2" t="inlineStr">
        <is>
          <t>R03M panels and cleats</t>
        </is>
      </c>
      <c r="C8" s="2" t="inlineStr">
        <is>
          <t>1 assembly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UNQUOTED / NOT ORDER AUTHORIZATION</t>
        </is>
      </c>
      <c r="M8" s="2">
        <f>IF(AND(ISNUMBER(C8),ISNUMBER(F8),ISNUMBER(G8),ISNUMBER(H8)),C8*F8+SUM(G8:H8),"UNQUOTED")</f>
        <v/>
      </c>
    </row>
    <row r="9" ht="38" customHeight="1">
      <c r="A9" s="3" t="inlineStr">
        <is>
          <t>GUARD</t>
        </is>
      </c>
      <c r="B9" s="3" t="inlineStr">
        <is>
          <t>R03M welded perforated guards</t>
        </is>
      </c>
      <c r="C9" s="3" t="inlineStr">
        <is>
          <t>2 assemblies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UNQUOTED / NOT ORDER AUTHORIZATION</t>
        </is>
      </c>
      <c r="M9" s="3">
        <f>IF(AND(ISNUMBER(C9),ISNUMBER(F9),ISNUMBER(G9),ISNUMBER(H9)),C9*F9+SUM(G9:H9),"UNQUOTED")</f>
        <v/>
      </c>
    </row>
    <row r="10" ht="38" customHeight="1">
      <c r="A10" s="2" t="inlineStr">
        <is>
          <t>FIX</t>
        </is>
      </c>
      <c r="B10" s="2" t="inlineStr">
        <is>
          <t>R03M fasteners and compression limiters</t>
        </is>
      </c>
      <c r="C10" s="2" t="inlineStr">
        <is>
          <t>1 scheduled set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UNQUOTED / NOT ORDER AUTHORIZATION</t>
        </is>
      </c>
      <c r="M10" s="2">
        <f>IF(AND(ISNUMBER(C10),ISNUMBER(F10),ISNUMBER(G10),ISNUMBER(H10)),C10*F10+SUM(G10:H10),"UNQUOTED")</f>
        <v/>
      </c>
    </row>
    <row r="11" ht="38" customHeight="1">
      <c r="A11" s="3" t="inlineStr">
        <is>
          <t>SEAL</t>
        </is>
      </c>
      <c r="B11" s="3" t="inlineStr">
        <is>
          <t>Filter/fan/penetration seals</t>
        </is>
      </c>
      <c r="C11" s="3" t="inlineStr">
        <is>
          <t>1 design set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UNQUOTED / NOT ORDER AUTHORIZATION</t>
        </is>
      </c>
      <c r="M11" s="3">
        <f>IF(AND(ISNUMBER(C11),ISNUMBER(F11),ISNUMBER(G11),ISNUMBER(H11)),C11*F11+SUM(G11:H11),"UNQUOTED")</f>
        <v/>
      </c>
    </row>
    <row r="12" ht="38" customHeight="1">
      <c r="A12" s="2" t="inlineStr">
        <is>
          <t>FEET</t>
        </is>
      </c>
      <c r="B12" s="2" t="inlineStr">
        <is>
          <t>Retained feet</t>
        </is>
      </c>
      <c r="C12" s="2" t="n">
        <v>4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UNQUOTED / NOT ORDER AUTHORIZATION</t>
        </is>
      </c>
      <c r="M12" s="2">
        <f>IF(AND(ISNUMBER(C12),ISNUMBER(F12),ISNUMBER(G12),ISNUMBER(H12)),C12*F12+SUM(G12:H12),"UNQUOTED")</f>
        <v/>
      </c>
    </row>
    <row r="13" ht="38" customHeight="1">
      <c r="A13" s="3" t="inlineStr">
        <is>
          <t>PR1</t>
        </is>
      </c>
      <c r="B13" s="3" t="inlineStr">
        <is>
          <t>Protection and service isolation</t>
        </is>
      </c>
      <c r="C13" s="3" t="inlineStr">
        <is>
          <t>1 assembly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UNQUOTED / NOT ORDER AUTHORIZATION</t>
        </is>
      </c>
      <c r="M13" s="3">
        <f>IF(AND(ISNUMBER(C13),ISNUMBER(F13),ISNUMBER(G13),ISNUMBER(H13)),C13*F13+SUM(G13:H13),"UNQUOTED")</f>
        <v/>
      </c>
    </row>
    <row r="14" ht="38" customHeight="1">
      <c r="A14" s="2" t="inlineStr">
        <is>
          <t>BOX</t>
        </is>
      </c>
      <c r="B14" s="2" t="inlineStr">
        <is>
          <t>Controls enclosure and cable restraints</t>
        </is>
      </c>
      <c r="C14" s="2" t="inlineStr">
        <is>
          <t>1 assembly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UNQUOTED / NOT ORDER AUTHORIZATION</t>
        </is>
      </c>
      <c r="M14" s="2">
        <f>IF(AND(ISNUMBER(C14),ISNUMBER(F14),ISNUMBER(G14),ISNUMBER(H14)),C14*F14+SUM(G14:H14),"UNQUOTED")</f>
        <v/>
      </c>
    </row>
    <row r="15" ht="38" customHeight="1">
      <c r="A15" s="3" t="inlineStr">
        <is>
          <t>TEST</t>
        </is>
      </c>
      <c r="B15" s="3" t="inlineStr">
        <is>
          <t>Calibrated airflow/pressure/power/noise/PM measurement</t>
        </is>
      </c>
      <c r="C15" s="3" t="inlineStr">
        <is>
          <t>1 service scope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UNQUOTED / NOT ORDER AUTHORIZATION</t>
        </is>
      </c>
      <c r="M15" s="3">
        <f>IF(AND(ISNUMBER(C15),ISNUMBER(F15),ISNUMBER(G15),ISNUMBER(H15)),C15*F15+SUM(G15:H15),"UNQUOTED")</f>
        <v/>
      </c>
    </row>
    <row r="16" ht="38" customHeight="1">
      <c r="A16" s="2" t="inlineStr">
        <is>
          <t>BUILD</t>
        </is>
      </c>
      <c r="B16" s="2" t="inlineStr">
        <is>
          <t>Fabrication assembly and qualified review</t>
        </is>
      </c>
      <c r="C16" s="2" t="inlineStr">
        <is>
          <t>1 service scope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UNQUOTED / NOT ORDER AUTHORIZATION</t>
        </is>
      </c>
      <c r="M16" s="2">
        <f>IF(AND(ISNUMBER(C16),ISNUMBER(F16),ISNUMBER(G16),ISNUMBER(H16)),C16*F16+SUM(G16:H16),"UNQUOTED")</f>
        <v/>
      </c>
    </row>
  </sheetData>
  <autoFilter ref="A1:M1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2026-10-04T22:23:11Z</dcterms:created>
  <dcterms:modified xmlns:dcterms="http://purl.org/dc/terms/" xmlns:xsi="http://www.w3.org/2001/XMLSchema-instance" xsi:type="dcterms:W3CDTF">2026-10-04T22:23:11Z</dcterms:modified>
</cp:coreProperties>
</file>